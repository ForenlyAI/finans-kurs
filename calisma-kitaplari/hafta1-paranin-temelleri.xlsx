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-Gider" sheetId="1" state="visible" r:id="rId1"/>
    <sheet name="Bütçe" sheetId="2" state="visible" r:id="rId2"/>
    <sheet name="Nakit Akışı" sheetId="3" state="visible" r:id="rId3"/>
    <sheet name="Acil Durum Fon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b val="1"/>
      <color rgb="00FFFFFF"/>
    </font>
    <font>
      <b val="1"/>
    </font>
    <font>
      <i val="1"/>
      <color rgb="005B6472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5" fillId="4" borderId="1" pivotButton="0" quotePrefix="0" xfId="0"/>
    <xf numFmtId="164" fontId="5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1" fontId="0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0" customWidth="1" min="4" max="4"/>
    <col width="14" customWidth="1" min="5" max="5"/>
    <col width="3" customWidth="1" min="6" max="6"/>
    <col width="30" customWidth="1" min="7" max="7"/>
    <col width="14" customWidth="1" min="8" max="8"/>
  </cols>
  <sheetData>
    <row r="1">
      <c r="A1" s="1" t="inlineStr">
        <is>
          <t>Gelir-Gider Kaydı · bir ay (1.1)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4" t="inlineStr">
        <is>
          <t>Gün</t>
        </is>
      </c>
      <c r="B5" s="4" t="inlineStr">
        <is>
          <t>Açıklama</t>
        </is>
      </c>
      <c r="C5" s="4" t="inlineStr">
        <is>
          <t>Kategori</t>
        </is>
      </c>
      <c r="D5" s="4" t="inlineStr">
        <is>
          <t>Tür</t>
        </is>
      </c>
      <c r="E5" s="4" t="inlineStr">
        <is>
          <t>Tutar</t>
        </is>
      </c>
      <c r="G5" s="4" t="inlineStr">
        <is>
          <t>Özet</t>
        </is>
      </c>
      <c r="H5" s="4" t="inlineStr">
        <is>
          <t>Tutar</t>
        </is>
      </c>
    </row>
    <row r="6">
      <c r="A6" s="5" t="n">
        <v>1</v>
      </c>
      <c r="B6" s="6" t="inlineStr">
        <is>
          <t>Maaş</t>
        </is>
      </c>
      <c r="C6" s="6" t="inlineStr">
        <is>
          <t>Maaş</t>
        </is>
      </c>
      <c r="D6" s="6" t="inlineStr">
        <is>
          <t>Gelir</t>
        </is>
      </c>
      <c r="E6" s="7" t="n">
        <v>42000</v>
      </c>
      <c r="G6" t="inlineStr">
        <is>
          <t>Toplam gelir</t>
        </is>
      </c>
      <c r="H6" s="8">
        <f>SUMIF($D$6:$D$25,"Gelir",$E$6:$E$25)</f>
        <v/>
      </c>
    </row>
    <row r="7">
      <c r="A7" s="5" t="n">
        <v>1</v>
      </c>
      <c r="B7" s="6" t="inlineStr">
        <is>
          <t>Kira</t>
        </is>
      </c>
      <c r="C7" s="6" t="inlineStr">
        <is>
          <t>Kira</t>
        </is>
      </c>
      <c r="D7" s="6" t="inlineStr">
        <is>
          <t>Gider</t>
        </is>
      </c>
      <c r="E7" s="7" t="n">
        <v>15000</v>
      </c>
      <c r="G7" t="inlineStr">
        <is>
          <t>Toplam gider</t>
        </is>
      </c>
      <c r="H7" s="8">
        <f>SUMIF($D$6:$D$25,"Gider",$E$6:$E$25)</f>
        <v/>
      </c>
    </row>
    <row r="8">
      <c r="A8" s="5" t="n">
        <v>2</v>
      </c>
      <c r="B8" s="6" t="inlineStr">
        <is>
          <t>Market alışverişi</t>
        </is>
      </c>
      <c r="C8" s="6" t="inlineStr">
        <is>
          <t>Market</t>
        </is>
      </c>
      <c r="D8" s="6" t="inlineStr">
        <is>
          <t>Gider</t>
        </is>
      </c>
      <c r="E8" s="7" t="n">
        <v>2100</v>
      </c>
      <c r="G8" t="inlineStr">
        <is>
          <t>Birikime ayrılan</t>
        </is>
      </c>
      <c r="H8" s="8">
        <f>SUMIF($D$6:$D$25,"Birikim",$E$6:$E$25)</f>
        <v/>
      </c>
    </row>
    <row r="9">
      <c r="A9" s="5" t="n">
        <v>3</v>
      </c>
      <c r="B9" s="6" t="inlineStr">
        <is>
          <t>Elektrik, su, doğalgaz</t>
        </is>
      </c>
      <c r="C9" s="6" t="inlineStr">
        <is>
          <t>Faturalar</t>
        </is>
      </c>
      <c r="D9" s="6" t="inlineStr">
        <is>
          <t>Gider</t>
        </is>
      </c>
      <c r="E9" s="7" t="n">
        <v>2800</v>
      </c>
      <c r="G9" s="9" t="inlineStr">
        <is>
          <t>Kalan (gelir − gider − birikim)</t>
        </is>
      </c>
      <c r="H9" s="10">
        <f>H6-H7-H8</f>
        <v/>
      </c>
    </row>
    <row r="10">
      <c r="A10" s="5" t="n">
        <v>4</v>
      </c>
      <c r="B10" s="6" t="inlineStr">
        <is>
          <t>Toplu taşıma kartı</t>
        </is>
      </c>
      <c r="C10" s="6" t="inlineStr">
        <is>
          <t>Ulaşım</t>
        </is>
      </c>
      <c r="D10" s="6" t="inlineStr">
        <is>
          <t>Gider</t>
        </is>
      </c>
      <c r="E10" s="7" t="n">
        <v>1200</v>
      </c>
      <c r="G10" t="inlineStr">
        <is>
          <t>Gelirin birikime giden payı</t>
        </is>
      </c>
      <c r="H10" s="11">
        <f>IFERROR(H8/H6,0)</f>
        <v/>
      </c>
    </row>
    <row r="11">
      <c r="A11" s="5" t="n">
        <v>5</v>
      </c>
      <c r="B11" s="6" t="inlineStr">
        <is>
          <t>Telefon ve internet</t>
        </is>
      </c>
      <c r="C11" s="6" t="inlineStr">
        <is>
          <t>Faturalar</t>
        </is>
      </c>
      <c r="D11" s="6" t="inlineStr">
        <is>
          <t>Gider</t>
        </is>
      </c>
      <c r="E11" s="7" t="n">
        <v>900</v>
      </c>
    </row>
    <row r="12" ht="30" customHeight="1">
      <c r="A12" s="5" t="n">
        <v>7</v>
      </c>
      <c r="B12" s="6" t="inlineStr">
        <is>
          <t>Kafe</t>
        </is>
      </c>
      <c r="C12" s="6" t="inlineStr">
        <is>
          <t>Dışarıda yemek</t>
        </is>
      </c>
      <c r="D12" s="6" t="inlineStr">
        <is>
          <t>Gider</t>
        </is>
      </c>
      <c r="E12" s="7" t="n">
        <v>450</v>
      </c>
      <c r="G12" s="4" t="inlineStr">
        <is>
          <t>Kategori</t>
        </is>
      </c>
      <c r="H12" s="4" t="inlineStr">
        <is>
          <t>Bu ay</t>
        </is>
      </c>
    </row>
    <row r="13">
      <c r="A13" s="5" t="n">
        <v>9</v>
      </c>
      <c r="B13" s="6" t="inlineStr">
        <is>
          <t>Market alışverişi</t>
        </is>
      </c>
      <c r="C13" s="6" t="inlineStr">
        <is>
          <t>Market</t>
        </is>
      </c>
      <c r="D13" s="6" t="inlineStr">
        <is>
          <t>Gider</t>
        </is>
      </c>
      <c r="E13" s="7" t="n">
        <v>2600</v>
      </c>
      <c r="G13" t="inlineStr">
        <is>
          <t>Kira</t>
        </is>
      </c>
      <c r="H13" s="8">
        <f>SUMIF($C$6:$C$25,G13,$E$6:$E$25)</f>
        <v/>
      </c>
    </row>
    <row r="14">
      <c r="A14" s="5" t="n">
        <v>10</v>
      </c>
      <c r="B14" s="6" t="inlineStr">
        <is>
          <t>Serbest iş ödemesi</t>
        </is>
      </c>
      <c r="C14" s="6" t="inlineStr">
        <is>
          <t>Ek gelir</t>
        </is>
      </c>
      <c r="D14" s="6" t="inlineStr">
        <is>
          <t>Gelir</t>
        </is>
      </c>
      <c r="E14" s="7" t="n">
        <v>3500</v>
      </c>
      <c r="G14" t="inlineStr">
        <is>
          <t>Faturalar</t>
        </is>
      </c>
      <c r="H14" s="8">
        <f>SUMIF($C$6:$C$25,G14,$E$6:$E$25)</f>
        <v/>
      </c>
    </row>
    <row r="15">
      <c r="A15" s="5" t="n">
        <v>12</v>
      </c>
      <c r="B15" s="6" t="inlineStr">
        <is>
          <t>Dizi aboneliği</t>
        </is>
      </c>
      <c r="C15" s="6" t="inlineStr">
        <is>
          <t>Abonelik</t>
        </is>
      </c>
      <c r="D15" s="6" t="inlineStr">
        <is>
          <t>Gider</t>
        </is>
      </c>
      <c r="E15" s="7" t="n">
        <v>250</v>
      </c>
      <c r="G15" t="inlineStr">
        <is>
          <t>Market</t>
        </is>
      </c>
      <c r="H15" s="8">
        <f>SUMIF($C$6:$C$25,G15,$E$6:$E$25)</f>
        <v/>
      </c>
    </row>
    <row r="16">
      <c r="A16" s="5" t="n">
        <v>14</v>
      </c>
      <c r="B16" s="6" t="inlineStr">
        <is>
          <t>Giyim</t>
        </is>
      </c>
      <c r="C16" s="6" t="inlineStr">
        <is>
          <t>Giyim</t>
        </is>
      </c>
      <c r="D16" s="6" t="inlineStr">
        <is>
          <t>Gider</t>
        </is>
      </c>
      <c r="E16" s="7" t="n">
        <v>1800</v>
      </c>
      <c r="G16" t="inlineStr">
        <is>
          <t>Ulaşım</t>
        </is>
      </c>
      <c r="H16" s="8">
        <f>SUMIF($C$6:$C$25,G16,$E$6:$E$25)</f>
        <v/>
      </c>
    </row>
    <row r="17">
      <c r="A17" s="5" t="n">
        <v>16</v>
      </c>
      <c r="B17" s="6" t="inlineStr">
        <is>
          <t>Market alışverişi</t>
        </is>
      </c>
      <c r="C17" s="6" t="inlineStr">
        <is>
          <t>Market</t>
        </is>
      </c>
      <c r="D17" s="6" t="inlineStr">
        <is>
          <t>Gider</t>
        </is>
      </c>
      <c r="E17" s="7" t="n">
        <v>2300</v>
      </c>
      <c r="G17" t="inlineStr">
        <is>
          <t>Dışarıda yemek</t>
        </is>
      </c>
      <c r="H17" s="8">
        <f>SUMIF($C$6:$C$25,G17,$E$6:$E$25)</f>
        <v/>
      </c>
    </row>
    <row r="18">
      <c r="A18" s="5" t="n">
        <v>18</v>
      </c>
      <c r="B18" s="6" t="inlineStr">
        <is>
          <t>Akşam yemeği</t>
        </is>
      </c>
      <c r="C18" s="6" t="inlineStr">
        <is>
          <t>Dışarıda yemek</t>
        </is>
      </c>
      <c r="D18" s="6" t="inlineStr">
        <is>
          <t>Gider</t>
        </is>
      </c>
      <c r="E18" s="7" t="n">
        <v>1400</v>
      </c>
      <c r="G18" t="inlineStr">
        <is>
          <t>Abonelik</t>
        </is>
      </c>
      <c r="H18" s="8">
        <f>SUMIF($C$6:$C$25,G18,$E$6:$E$25)</f>
        <v/>
      </c>
    </row>
    <row r="19">
      <c r="A19" s="5" t="n">
        <v>20</v>
      </c>
      <c r="B19" s="6" t="inlineStr">
        <is>
          <t>Taksi</t>
        </is>
      </c>
      <c r="C19" s="6" t="inlineStr">
        <is>
          <t>Ulaşım</t>
        </is>
      </c>
      <c r="D19" s="6" t="inlineStr">
        <is>
          <t>Gider</t>
        </is>
      </c>
      <c r="E19" s="7" t="n">
        <v>650</v>
      </c>
      <c r="G19" t="inlineStr">
        <is>
          <t>Giyim</t>
        </is>
      </c>
      <c r="H19" s="8">
        <f>SUMIF($C$6:$C$25,G19,$E$6:$E$25)</f>
        <v/>
      </c>
    </row>
    <row r="20">
      <c r="A20" s="5" t="n">
        <v>21</v>
      </c>
      <c r="B20" s="6" t="inlineStr">
        <is>
          <t>Spor salonu</t>
        </is>
      </c>
      <c r="C20" s="6" t="inlineStr">
        <is>
          <t>Abonelik</t>
        </is>
      </c>
      <c r="D20" s="6" t="inlineStr">
        <is>
          <t>Gider</t>
        </is>
      </c>
      <c r="E20" s="7" t="n">
        <v>1100</v>
      </c>
      <c r="G20" t="inlineStr">
        <is>
          <t>Sağlık</t>
        </is>
      </c>
      <c r="H20" s="8">
        <f>SUMIF($C$6:$C$25,G20,$E$6:$E$25)</f>
        <v/>
      </c>
    </row>
    <row r="21">
      <c r="A21" s="5" t="n">
        <v>22</v>
      </c>
      <c r="B21" s="6" t="inlineStr">
        <is>
          <t>Kitap</t>
        </is>
      </c>
      <c r="C21" s="6" t="inlineStr">
        <is>
          <t>Diğer</t>
        </is>
      </c>
      <c r="D21" s="6" t="inlineStr">
        <is>
          <t>Gider</t>
        </is>
      </c>
      <c r="E21" s="7" t="n">
        <v>350</v>
      </c>
      <c r="G21" t="inlineStr">
        <is>
          <t>Diğer</t>
        </is>
      </c>
      <c r="H21" s="8">
        <f>SUMIF($C$6:$C$25,G21,$E$6:$E$25)</f>
        <v/>
      </c>
    </row>
    <row r="22">
      <c r="A22" s="5" t="n">
        <v>23</v>
      </c>
      <c r="B22" s="6" t="inlineStr">
        <is>
          <t>Market alışverişi</t>
        </is>
      </c>
      <c r="C22" s="6" t="inlineStr">
        <is>
          <t>Market</t>
        </is>
      </c>
      <c r="D22" s="6" t="inlineStr">
        <is>
          <t>Gider</t>
        </is>
      </c>
      <c r="E22" s="7" t="n">
        <v>1900</v>
      </c>
      <c r="G22" s="9" t="inlineStr">
        <is>
          <t>Kategoriler toplamı</t>
        </is>
      </c>
      <c r="H22" s="10">
        <f>SUM(H13:H21)</f>
        <v/>
      </c>
    </row>
    <row r="23">
      <c r="A23" s="5" t="n">
        <v>25</v>
      </c>
      <c r="B23" s="6" t="inlineStr">
        <is>
          <t>Hediye</t>
        </is>
      </c>
      <c r="C23" s="6" t="inlineStr">
        <is>
          <t>Diğer</t>
        </is>
      </c>
      <c r="D23" s="6" t="inlineStr">
        <is>
          <t>Gider</t>
        </is>
      </c>
      <c r="E23" s="7" t="n">
        <v>1200</v>
      </c>
      <c r="G23" t="inlineStr">
        <is>
          <t>Toplam giderle aynı mı?</t>
        </is>
      </c>
      <c r="H23" s="12">
        <f>IF(ROUND(H22-H7,2)=0,"EVET","HAYIR — kategori eksik")</f>
        <v/>
      </c>
    </row>
    <row r="24">
      <c r="A24" s="5" t="n">
        <v>27</v>
      </c>
      <c r="B24" s="6" t="inlineStr">
        <is>
          <t>Eczane</t>
        </is>
      </c>
      <c r="C24" s="6" t="inlineStr">
        <is>
          <t>Sağlık</t>
        </is>
      </c>
      <c r="D24" s="6" t="inlineStr">
        <is>
          <t>Gider</t>
        </is>
      </c>
      <c r="E24" s="7" t="n">
        <v>600</v>
      </c>
    </row>
    <row r="25">
      <c r="A25" s="5" t="n">
        <v>29</v>
      </c>
      <c r="B25" s="6" t="inlineStr">
        <is>
          <t>Birikim hesabına aktarım</t>
        </is>
      </c>
      <c r="C25" s="6" t="inlineStr">
        <is>
          <t>Birikim</t>
        </is>
      </c>
      <c r="D25" s="6" t="inlineStr">
        <is>
          <t>Birikim</t>
        </is>
      </c>
      <c r="E25" s="7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18" customWidth="1" min="5" max="5"/>
    <col width="13" customWidth="1" min="6" max="6"/>
    <col width="12" customWidth="1" min="7" max="7"/>
  </cols>
  <sheetData>
    <row r="1">
      <c r="A1" s="1" t="inlineStr">
        <is>
          <t>Aylık Bütçe · plan ve gerçekleşen (1.2)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4" t="inlineStr">
        <is>
          <t>Kategori</t>
        </is>
      </c>
      <c r="B5" s="4" t="inlineStr">
        <is>
          <t>Zorunlu mu?</t>
        </is>
      </c>
      <c r="C5" s="4" t="inlineStr">
        <is>
          <t>Plan</t>
        </is>
      </c>
      <c r="D5" s="4" t="inlineStr">
        <is>
          <t>Gerçekleşen</t>
        </is>
      </c>
      <c r="E5" s="4" t="inlineStr">
        <is>
          <t>Fark (plan − gerçek)</t>
        </is>
      </c>
      <c r="F5" s="4" t="inlineStr">
        <is>
          <t>Gelire oranı</t>
        </is>
      </c>
      <c r="G5" s="4" t="inlineStr">
        <is>
          <t>Durum</t>
        </is>
      </c>
    </row>
    <row r="6">
      <c r="A6" t="inlineStr">
        <is>
          <t>Kira</t>
        </is>
      </c>
      <c r="B6" s="6" t="inlineStr">
        <is>
          <t>Evet</t>
        </is>
      </c>
      <c r="C6" s="7" t="n">
        <v>15000</v>
      </c>
      <c r="D6" s="8">
        <f>SUMIF('Gelir-Gider'!$C$6:$C$25,A6,'Gelir-Gider'!$E$6:$E$25)</f>
        <v/>
      </c>
      <c r="E6" s="8">
        <f>C6-D6</f>
        <v/>
      </c>
      <c r="F6" s="11">
        <f>IFERROR(D6/$C$19,0)</f>
        <v/>
      </c>
      <c r="G6" s="12">
        <f>IF(E6&lt;0,"AŞILDI","")</f>
        <v/>
      </c>
    </row>
    <row r="7">
      <c r="A7" t="inlineStr">
        <is>
          <t>Faturalar</t>
        </is>
      </c>
      <c r="B7" s="6" t="inlineStr">
        <is>
          <t>Evet</t>
        </is>
      </c>
      <c r="C7" s="7" t="n">
        <v>3500</v>
      </c>
      <c r="D7" s="8">
        <f>SUMIF('Gelir-Gider'!$C$6:$C$25,A7,'Gelir-Gider'!$E$6:$E$25)</f>
        <v/>
      </c>
      <c r="E7" s="8">
        <f>C7-D7</f>
        <v/>
      </c>
      <c r="F7" s="11">
        <f>IFERROR(D7/$C$19,0)</f>
        <v/>
      </c>
      <c r="G7" s="12">
        <f>IF(E7&lt;0,"AŞILDI","")</f>
        <v/>
      </c>
    </row>
    <row r="8">
      <c r="A8" t="inlineStr">
        <is>
          <t>Market</t>
        </is>
      </c>
      <c r="B8" s="6" t="inlineStr">
        <is>
          <t>Evet</t>
        </is>
      </c>
      <c r="C8" s="7" t="n">
        <v>8000</v>
      </c>
      <c r="D8" s="8">
        <f>SUMIF('Gelir-Gider'!$C$6:$C$25,A8,'Gelir-Gider'!$E$6:$E$25)</f>
        <v/>
      </c>
      <c r="E8" s="8">
        <f>C8-D8</f>
        <v/>
      </c>
      <c r="F8" s="11">
        <f>IFERROR(D8/$C$19,0)</f>
        <v/>
      </c>
      <c r="G8" s="12">
        <f>IF(E8&lt;0,"AŞILDI","")</f>
        <v/>
      </c>
    </row>
    <row r="9">
      <c r="A9" t="inlineStr">
        <is>
          <t>Ulaşım</t>
        </is>
      </c>
      <c r="B9" s="6" t="inlineStr">
        <is>
          <t>Evet</t>
        </is>
      </c>
      <c r="C9" s="7" t="n">
        <v>2000</v>
      </c>
      <c r="D9" s="8">
        <f>SUMIF('Gelir-Gider'!$C$6:$C$25,A9,'Gelir-Gider'!$E$6:$E$25)</f>
        <v/>
      </c>
      <c r="E9" s="8">
        <f>C9-D9</f>
        <v/>
      </c>
      <c r="F9" s="11">
        <f>IFERROR(D9/$C$19,0)</f>
        <v/>
      </c>
      <c r="G9" s="12">
        <f>IF(E9&lt;0,"AŞILDI","")</f>
        <v/>
      </c>
    </row>
    <row r="10">
      <c r="A10" t="inlineStr">
        <is>
          <t>Dışarıda yemek</t>
        </is>
      </c>
      <c r="B10" s="6" t="inlineStr">
        <is>
          <t>Hayır</t>
        </is>
      </c>
      <c r="C10" s="7" t="n">
        <v>1500</v>
      </c>
      <c r="D10" s="8">
        <f>SUMIF('Gelir-Gider'!$C$6:$C$25,A10,'Gelir-Gider'!$E$6:$E$25)</f>
        <v/>
      </c>
      <c r="E10" s="8">
        <f>C10-D10</f>
        <v/>
      </c>
      <c r="F10" s="11">
        <f>IFERROR(D10/$C$19,0)</f>
        <v/>
      </c>
      <c r="G10" s="12">
        <f>IF(E10&lt;0,"AŞILDI","")</f>
        <v/>
      </c>
    </row>
    <row r="11">
      <c r="A11" t="inlineStr">
        <is>
          <t>Abonelik</t>
        </is>
      </c>
      <c r="B11" s="6" t="inlineStr">
        <is>
          <t>Hayır</t>
        </is>
      </c>
      <c r="C11" s="7" t="n">
        <v>1200</v>
      </c>
      <c r="D11" s="8">
        <f>SUMIF('Gelir-Gider'!$C$6:$C$25,A11,'Gelir-Gider'!$E$6:$E$25)</f>
        <v/>
      </c>
      <c r="E11" s="8">
        <f>C11-D11</f>
        <v/>
      </c>
      <c r="F11" s="11">
        <f>IFERROR(D11/$C$19,0)</f>
        <v/>
      </c>
      <c r="G11" s="12">
        <f>IF(E11&lt;0,"AŞILDI","")</f>
        <v/>
      </c>
    </row>
    <row r="12">
      <c r="A12" t="inlineStr">
        <is>
          <t>Giyim</t>
        </is>
      </c>
      <c r="B12" s="6" t="inlineStr">
        <is>
          <t>Hayır</t>
        </is>
      </c>
      <c r="C12" s="7" t="n">
        <v>1000</v>
      </c>
      <c r="D12" s="8">
        <f>SUMIF('Gelir-Gider'!$C$6:$C$25,A12,'Gelir-Gider'!$E$6:$E$25)</f>
        <v/>
      </c>
      <c r="E12" s="8">
        <f>C12-D12</f>
        <v/>
      </c>
      <c r="F12" s="11">
        <f>IFERROR(D12/$C$19,0)</f>
        <v/>
      </c>
      <c r="G12" s="12">
        <f>IF(E12&lt;0,"AŞILDI","")</f>
        <v/>
      </c>
    </row>
    <row r="13">
      <c r="A13" t="inlineStr">
        <is>
          <t>Sağlık</t>
        </is>
      </c>
      <c r="B13" s="6" t="inlineStr">
        <is>
          <t>Evet</t>
        </is>
      </c>
      <c r="C13" s="7" t="n">
        <v>700</v>
      </c>
      <c r="D13" s="8">
        <f>SUMIF('Gelir-Gider'!$C$6:$C$25,A13,'Gelir-Gider'!$E$6:$E$25)</f>
        <v/>
      </c>
      <c r="E13" s="8">
        <f>C13-D13</f>
        <v/>
      </c>
      <c r="F13" s="11">
        <f>IFERROR(D13/$C$19,0)</f>
        <v/>
      </c>
      <c r="G13" s="12">
        <f>IF(E13&lt;0,"AŞILDI","")</f>
        <v/>
      </c>
    </row>
    <row r="14">
      <c r="A14" t="inlineStr">
        <is>
          <t>Diğer</t>
        </is>
      </c>
      <c r="B14" s="6" t="inlineStr">
        <is>
          <t>Hayır</t>
        </is>
      </c>
      <c r="C14" s="7" t="n">
        <v>800</v>
      </c>
      <c r="D14" s="8">
        <f>SUMIF('Gelir-Gider'!$C$6:$C$25,A14,'Gelir-Gider'!$E$6:$E$25)</f>
        <v/>
      </c>
      <c r="E14" s="8">
        <f>C14-D14</f>
        <v/>
      </c>
      <c r="F14" s="11">
        <f>IFERROR(D14/$C$19,0)</f>
        <v/>
      </c>
      <c r="G14" s="12">
        <f>IF(E14&lt;0,"AŞILDI","")</f>
        <v/>
      </c>
    </row>
    <row r="15">
      <c r="A15" s="9" t="inlineStr">
        <is>
          <t>Toplam gider</t>
        </is>
      </c>
      <c r="C15" s="10">
        <f>SUM(C6:C14)</f>
        <v/>
      </c>
      <c r="D15" s="10">
        <f>SUM(D6:D14)</f>
        <v/>
      </c>
      <c r="E15" s="10">
        <f>C15-D15</f>
        <v/>
      </c>
      <c r="F15" s="11">
        <f>IFERROR(D15/$C$19,0)</f>
        <v/>
      </c>
    </row>
    <row r="17">
      <c r="A17" t="inlineStr">
        <is>
          <t>Zorunlu giderler toplamı</t>
        </is>
      </c>
      <c r="C17" s="8">
        <f>SUMIF($B$6:$B$14,"Evet",C6:C14)</f>
        <v/>
      </c>
      <c r="D17" s="8">
        <f>SUMIF($B$6:$B$14,"Evet",D6:D14)</f>
        <v/>
      </c>
    </row>
    <row r="19">
      <c r="A19" t="inlineStr">
        <is>
          <t>Aylık gelir (Gelir-Gider sayfasından)</t>
        </is>
      </c>
      <c r="C19" s="8">
        <f>'Gelir-Gider'!H6</f>
        <v/>
      </c>
      <c r="D19" s="8">
        <f>'Gelir-Gider'!H6</f>
        <v/>
      </c>
    </row>
    <row r="20">
      <c r="A20" t="inlineStr">
        <is>
          <t>Birikime ayrılan</t>
        </is>
      </c>
      <c r="C20" s="7" t="n">
        <v>4000</v>
      </c>
      <c r="D20" s="8">
        <f>'Gelir-Gider'!H8</f>
        <v/>
      </c>
    </row>
    <row r="21">
      <c r="A21" s="9" t="inlineStr">
        <is>
          <t>Kalan (gelir − gider − birikim)</t>
        </is>
      </c>
      <c r="C21" s="10">
        <f>C19-C15-C20</f>
        <v/>
      </c>
      <c r="D21" s="10">
        <f>D19-D15-D20</f>
        <v/>
      </c>
    </row>
    <row r="23">
      <c r="A23" s="13" t="inlineStr">
        <is>
          <t>Plan sütununu siz yazarsınız; gerçekleşen sütunu Gelir-Gider sayfasındaki kayıtlardan kendiliğinden gelir.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>
      <c r="A1" s="1" t="inlineStr">
        <is>
          <t>12 Aylık Kişisel Nakit Akışı · örnek yıl (1.3)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4" t="inlineStr">
        <is>
          <t>Kalem</t>
        </is>
      </c>
      <c r="B5" s="4" t="inlineStr">
        <is>
          <t>Ocak</t>
        </is>
      </c>
      <c r="C5" s="4" t="inlineStr">
        <is>
          <t>Şubat</t>
        </is>
      </c>
      <c r="D5" s="4" t="inlineStr">
        <is>
          <t>Mart</t>
        </is>
      </c>
      <c r="E5" s="4" t="inlineStr">
        <is>
          <t>Nisan</t>
        </is>
      </c>
      <c r="F5" s="4" t="inlineStr">
        <is>
          <t>Mayıs</t>
        </is>
      </c>
      <c r="G5" s="4" t="inlineStr">
        <is>
          <t>Haziran</t>
        </is>
      </c>
      <c r="H5" s="4" t="inlineStr">
        <is>
          <t>Temmuz</t>
        </is>
      </c>
      <c r="I5" s="4" t="inlineStr">
        <is>
          <t>Ağustos</t>
        </is>
      </c>
      <c r="J5" s="4" t="inlineStr">
        <is>
          <t>Eylül</t>
        </is>
      </c>
      <c r="K5" s="4" t="inlineStr">
        <is>
          <t>Ekim</t>
        </is>
      </c>
      <c r="L5" s="4" t="inlineStr">
        <is>
          <t>Kasım</t>
        </is>
      </c>
      <c r="M5" s="4" t="inlineStr">
        <is>
          <t>Aralık</t>
        </is>
      </c>
      <c r="N5" s="4" t="inlineStr">
        <is>
          <t>Yıl toplamı</t>
        </is>
      </c>
    </row>
    <row r="6">
      <c r="A6" t="inlineStr">
        <is>
          <t>Açılış bakiyesi</t>
        </is>
      </c>
      <c r="B6" s="7" t="n">
        <v>2000</v>
      </c>
      <c r="C6" s="8">
        <f>B12</f>
        <v/>
      </c>
      <c r="D6" s="8">
        <f>C12</f>
        <v/>
      </c>
      <c r="E6" s="8">
        <f>D12</f>
        <v/>
      </c>
      <c r="F6" s="8">
        <f>E12</f>
        <v/>
      </c>
      <c r="G6" s="8">
        <f>F12</f>
        <v/>
      </c>
      <c r="H6" s="8">
        <f>G12</f>
        <v/>
      </c>
      <c r="I6" s="8">
        <f>H12</f>
        <v/>
      </c>
      <c r="J6" s="8">
        <f>I12</f>
        <v/>
      </c>
      <c r="K6" s="8">
        <f>J12</f>
        <v/>
      </c>
      <c r="L6" s="8">
        <f>K12</f>
        <v/>
      </c>
      <c r="M6" s="8">
        <f>L12</f>
        <v/>
      </c>
    </row>
    <row r="7">
      <c r="A7" t="inlineStr">
        <is>
          <t>Düzenli gelir (Bütçe)</t>
        </is>
      </c>
      <c r="B7" s="8">
        <f>'Bütçe'!$C$19</f>
        <v/>
      </c>
      <c r="C7" s="8">
        <f>'Bütçe'!$C$19</f>
        <v/>
      </c>
      <c r="D7" s="8">
        <f>'Bütçe'!$C$19</f>
        <v/>
      </c>
      <c r="E7" s="8">
        <f>'Bütçe'!$C$19</f>
        <v/>
      </c>
      <c r="F7" s="8">
        <f>'Bütçe'!$C$19</f>
        <v/>
      </c>
      <c r="G7" s="8">
        <f>'Bütçe'!$C$19</f>
        <v/>
      </c>
      <c r="H7" s="8">
        <f>'Bütçe'!$C$19</f>
        <v/>
      </c>
      <c r="I7" s="8">
        <f>'Bütçe'!$C$19</f>
        <v/>
      </c>
      <c r="J7" s="8">
        <f>'Bütçe'!$C$19</f>
        <v/>
      </c>
      <c r="K7" s="8">
        <f>'Bütçe'!$C$19</f>
        <v/>
      </c>
      <c r="L7" s="8">
        <f>'Bütçe'!$C$19</f>
        <v/>
      </c>
      <c r="M7" s="8">
        <f>'Bütçe'!$C$19</f>
        <v/>
      </c>
      <c r="N7" s="8">
        <f>SUM(B7:M7)</f>
        <v/>
      </c>
    </row>
    <row r="8">
      <c r="A8" t="inlineStr">
        <is>
          <t>Düzensiz gelir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5000</v>
      </c>
      <c r="M8" s="7" t="n">
        <v>15000</v>
      </c>
      <c r="N8" s="8">
        <f>SUM(B8:M8)</f>
        <v/>
      </c>
    </row>
    <row r="9">
      <c r="A9" t="inlineStr">
        <is>
          <t>Düzenli gider (Bütçe)</t>
        </is>
      </c>
      <c r="B9" s="8">
        <f>'Bütçe'!$D$15</f>
        <v/>
      </c>
      <c r="C9" s="8">
        <f>'Bütçe'!$D$15</f>
        <v/>
      </c>
      <c r="D9" s="8">
        <f>'Bütçe'!$D$15</f>
        <v/>
      </c>
      <c r="E9" s="8">
        <f>'Bütçe'!$D$15</f>
        <v/>
      </c>
      <c r="F9" s="8">
        <f>'Bütçe'!$D$15</f>
        <v/>
      </c>
      <c r="G9" s="8">
        <f>'Bütçe'!$D$15</f>
        <v/>
      </c>
      <c r="H9" s="8">
        <f>'Bütçe'!$D$15</f>
        <v/>
      </c>
      <c r="I9" s="8">
        <f>'Bütçe'!$D$15</f>
        <v/>
      </c>
      <c r="J9" s="8">
        <f>'Bütçe'!$D$15</f>
        <v/>
      </c>
      <c r="K9" s="8">
        <f>'Bütçe'!$D$15</f>
        <v/>
      </c>
      <c r="L9" s="8">
        <f>'Bütçe'!$D$15</f>
        <v/>
      </c>
      <c r="M9" s="8">
        <f>'Bütçe'!$D$15</f>
        <v/>
      </c>
      <c r="N9" s="8">
        <f>SUM(B9:M9)</f>
        <v/>
      </c>
    </row>
    <row r="10">
      <c r="A10" t="inlineStr">
        <is>
          <t>Dönemsel gider (sigorta, tatil …)</t>
        </is>
      </c>
      <c r="B10" s="7" t="n">
        <v>0</v>
      </c>
      <c r="C10" s="7" t="n">
        <v>0</v>
      </c>
      <c r="D10" s="7" t="n">
        <v>14000</v>
      </c>
      <c r="E10" s="7" t="n">
        <v>0</v>
      </c>
      <c r="F10" s="7" t="n">
        <v>0</v>
      </c>
      <c r="G10" s="7" t="n">
        <v>0</v>
      </c>
      <c r="H10" s="7" t="n">
        <v>25000</v>
      </c>
      <c r="I10" s="7" t="n">
        <v>0</v>
      </c>
      <c r="J10" s="7" t="n">
        <v>12000</v>
      </c>
      <c r="K10" s="7" t="n">
        <v>0</v>
      </c>
      <c r="L10" s="7" t="n">
        <v>0</v>
      </c>
      <c r="M10" s="7" t="n">
        <v>6000</v>
      </c>
      <c r="N10" s="8">
        <f>SUM(B10:M10)</f>
        <v/>
      </c>
    </row>
    <row r="11">
      <c r="A11" t="inlineStr">
        <is>
          <t>Birikime ayrılan (Bütçe)</t>
        </is>
      </c>
      <c r="B11" s="8">
        <f>'Bütçe'!$C$20</f>
        <v/>
      </c>
      <c r="C11" s="8">
        <f>'Bütçe'!$C$20</f>
        <v/>
      </c>
      <c r="D11" s="8">
        <f>'Bütçe'!$C$20</f>
        <v/>
      </c>
      <c r="E11" s="8">
        <f>'Bütçe'!$C$20</f>
        <v/>
      </c>
      <c r="F11" s="8">
        <f>'Bütçe'!$C$20</f>
        <v/>
      </c>
      <c r="G11" s="8">
        <f>'Bütçe'!$C$20</f>
        <v/>
      </c>
      <c r="H11" s="8">
        <f>'Bütçe'!$C$20</f>
        <v/>
      </c>
      <c r="I11" s="8">
        <f>'Bütçe'!$C$20</f>
        <v/>
      </c>
      <c r="J11" s="8">
        <f>'Bütçe'!$C$20</f>
        <v/>
      </c>
      <c r="K11" s="8">
        <f>'Bütçe'!$C$20</f>
        <v/>
      </c>
      <c r="L11" s="8">
        <f>'Bütçe'!$C$20</f>
        <v/>
      </c>
      <c r="M11" s="8">
        <f>'Bütçe'!$C$20</f>
        <v/>
      </c>
      <c r="N11" s="8">
        <f>SUM(B11:M11)</f>
        <v/>
      </c>
    </row>
    <row r="12">
      <c r="A12" s="9" t="inlineStr">
        <is>
          <t>Kapanış bakiyesi</t>
        </is>
      </c>
      <c r="B12" s="10">
        <f>B6+B7+B8-B9-B10-B11</f>
        <v/>
      </c>
      <c r="C12" s="10">
        <f>C6+C7+C8-C9-C10-C11</f>
        <v/>
      </c>
      <c r="D12" s="10">
        <f>D6+D7+D8-D9-D10-D11</f>
        <v/>
      </c>
      <c r="E12" s="10">
        <f>E6+E7+E8-E9-E10-E11</f>
        <v/>
      </c>
      <c r="F12" s="10">
        <f>F6+F7+F8-F9-F10-F11</f>
        <v/>
      </c>
      <c r="G12" s="10">
        <f>G6+G7+G8-G9-G10-G11</f>
        <v/>
      </c>
      <c r="H12" s="10">
        <f>H6+H7+H8-H9-H10-H11</f>
        <v/>
      </c>
      <c r="I12" s="10">
        <f>I6+I7+I8-I9-I10-I11</f>
        <v/>
      </c>
      <c r="J12" s="10">
        <f>J6+J7+J8-J9-J10-J11</f>
        <v/>
      </c>
      <c r="K12" s="10">
        <f>K6+K7+K8-K9-K10-K11</f>
        <v/>
      </c>
      <c r="L12" s="10">
        <f>L6+L7+L8-L9-L10-L11</f>
        <v/>
      </c>
      <c r="M12" s="10">
        <f>M6+M7+M8-M9-M10-M11</f>
        <v/>
      </c>
    </row>
    <row r="13">
      <c r="A13" t="inlineStr">
        <is>
          <t>Durum</t>
        </is>
      </c>
      <c r="B13" s="12">
        <f>IF(B12&lt;0,"AÇIK","")</f>
        <v/>
      </c>
      <c r="C13" s="12">
        <f>IF(C12&lt;0,"AÇIK","")</f>
        <v/>
      </c>
      <c r="D13" s="12">
        <f>IF(D12&lt;0,"AÇIK","")</f>
        <v/>
      </c>
      <c r="E13" s="12">
        <f>IF(E12&lt;0,"AÇIK","")</f>
        <v/>
      </c>
      <c r="F13" s="12">
        <f>IF(F12&lt;0,"AÇIK","")</f>
        <v/>
      </c>
      <c r="G13" s="12">
        <f>IF(G12&lt;0,"AÇIK","")</f>
        <v/>
      </c>
      <c r="H13" s="12">
        <f>IF(H12&lt;0,"AÇIK","")</f>
        <v/>
      </c>
      <c r="I13" s="12">
        <f>IF(I12&lt;0,"AÇIK","")</f>
        <v/>
      </c>
      <c r="J13" s="12">
        <f>IF(J12&lt;0,"AÇIK","")</f>
        <v/>
      </c>
      <c r="K13" s="12">
        <f>IF(K12&lt;0,"AÇIK","")</f>
        <v/>
      </c>
      <c r="L13" s="12">
        <f>IF(L12&lt;0,"AÇIK","")</f>
        <v/>
      </c>
      <c r="M13" s="12">
        <f>IF(M12&lt;0,"AÇIK","")</f>
        <v/>
      </c>
    </row>
    <row r="15">
      <c r="A15" t="inlineStr">
        <is>
          <t>En düşük kapanış</t>
        </is>
      </c>
      <c r="B15" s="8">
        <f>MIN(B12:M12)</f>
        <v/>
      </c>
    </row>
    <row r="16">
      <c r="A16" t="inlineStr">
        <is>
          <t>Açık veren ay sayısı</t>
        </is>
      </c>
      <c r="B16" s="14">
        <f>COUNTIF(B12:M12,"&lt;0")</f>
        <v/>
      </c>
    </row>
    <row r="18">
      <c r="A18" s="13" t="inlineStr">
        <is>
          <t>Düzensiz gelir ve dönemsel gider satırları sarı: yıl içinde ne zaman geleceğini siz yazarsınız.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22" customWidth="1" min="5" max="5"/>
  </cols>
  <sheetData>
    <row r="1">
      <c r="A1" s="1" t="inlineStr">
        <is>
          <t>Acil Durum Fonu Hedefi (1.4)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Zorunlu aylık gider (Bütçe sayfasından)</t>
        </is>
      </c>
      <c r="C5" s="8">
        <f>'Bütçe'!D17</f>
        <v/>
      </c>
    </row>
    <row r="6">
      <c r="A6" t="inlineStr">
        <is>
          <t>Hedef: kaç aylık zorunlu gider?</t>
        </is>
      </c>
      <c r="C6" s="5" t="n">
        <v>3</v>
      </c>
      <c r="D6" s="13" t="inlineStr">
        <is>
          <t>Kendi durumunuza göre seçin — kurs sabit bir sayı önermez.</t>
        </is>
      </c>
    </row>
    <row r="7">
      <c r="A7" s="9" t="inlineStr">
        <is>
          <t>Hedef tutar</t>
        </is>
      </c>
      <c r="C7" s="10">
        <f>C5*C6</f>
        <v/>
      </c>
    </row>
    <row r="8">
      <c r="A8" t="inlineStr">
        <is>
          <t>Şu an ayrılmış tutar</t>
        </is>
      </c>
      <c r="C8" s="7" t="n">
        <v>12000</v>
      </c>
    </row>
    <row r="9">
      <c r="A9" t="inlineStr">
        <is>
          <t>Eksik</t>
        </is>
      </c>
      <c r="C9" s="8">
        <f>MAX(0,C7-C8)</f>
        <v/>
      </c>
    </row>
    <row r="10">
      <c r="A10" t="inlineStr">
        <is>
          <t>Her ay ayırabileceğim</t>
        </is>
      </c>
      <c r="C10" s="7" t="n">
        <v>4000</v>
      </c>
    </row>
    <row r="11">
      <c r="A11" s="9" t="inlineStr">
        <is>
          <t>Hedefe kaç ayda ulaşırım?</t>
        </is>
      </c>
      <c r="C11" s="15">
        <f>IF(C9=0,0,ROUNDUP(C9/C10,0))</f>
        <v/>
      </c>
    </row>
    <row r="13" ht="30" customHeight="1">
      <c r="A13" s="4" t="inlineStr">
        <is>
          <t>Ay</t>
        </is>
      </c>
      <c r="B13" s="4" t="inlineStr">
        <is>
          <t>Ay başı</t>
        </is>
      </c>
      <c r="C13" s="4" t="inlineStr">
        <is>
          <t>Eklenen</t>
        </is>
      </c>
      <c r="D13" s="4" t="inlineStr">
        <is>
          <t>Ay sonu</t>
        </is>
      </c>
      <c r="E13" s="4" t="inlineStr">
        <is>
          <t>Hedefe ulaşıldı mı?</t>
        </is>
      </c>
    </row>
    <row r="14">
      <c r="A14" t="n">
        <v>1</v>
      </c>
      <c r="B14" s="8">
        <f>C8</f>
        <v/>
      </c>
      <c r="C14" s="8">
        <f>MIN($C$10,MAX(0,$C$7-B14))</f>
        <v/>
      </c>
      <c r="D14" s="8">
        <f>B14+C14</f>
        <v/>
      </c>
      <c r="E14" s="12">
        <f>IF(D14&gt;=$C$7,"EVET","")</f>
        <v/>
      </c>
    </row>
    <row r="15">
      <c r="A15" t="n">
        <v>2</v>
      </c>
      <c r="B15" s="8">
        <f>D14</f>
        <v/>
      </c>
      <c r="C15" s="8">
        <f>MIN($C$10,MAX(0,$C$7-B15))</f>
        <v/>
      </c>
      <c r="D15" s="8">
        <f>B15+C15</f>
        <v/>
      </c>
      <c r="E15" s="12">
        <f>IF(D15&gt;=$C$7,"EVET","")</f>
        <v/>
      </c>
    </row>
    <row r="16">
      <c r="A16" t="n">
        <v>3</v>
      </c>
      <c r="B16" s="8">
        <f>D15</f>
        <v/>
      </c>
      <c r="C16" s="8">
        <f>MIN($C$10,MAX(0,$C$7-B16))</f>
        <v/>
      </c>
      <c r="D16" s="8">
        <f>B16+C16</f>
        <v/>
      </c>
      <c r="E16" s="12">
        <f>IF(D16&gt;=$C$7,"EVET","")</f>
        <v/>
      </c>
    </row>
    <row r="17">
      <c r="A17" t="n">
        <v>4</v>
      </c>
      <c r="B17" s="8">
        <f>D16</f>
        <v/>
      </c>
      <c r="C17" s="8">
        <f>MIN($C$10,MAX(0,$C$7-B17))</f>
        <v/>
      </c>
      <c r="D17" s="8">
        <f>B17+C17</f>
        <v/>
      </c>
      <c r="E17" s="12">
        <f>IF(D17&gt;=$C$7,"EVET","")</f>
        <v/>
      </c>
    </row>
    <row r="18">
      <c r="A18" t="n">
        <v>5</v>
      </c>
      <c r="B18" s="8">
        <f>D17</f>
        <v/>
      </c>
      <c r="C18" s="8">
        <f>MIN($C$10,MAX(0,$C$7-B18))</f>
        <v/>
      </c>
      <c r="D18" s="8">
        <f>B18+C18</f>
        <v/>
      </c>
      <c r="E18" s="12">
        <f>IF(D18&gt;=$C$7,"EVET","")</f>
        <v/>
      </c>
    </row>
    <row r="19">
      <c r="A19" t="n">
        <v>6</v>
      </c>
      <c r="B19" s="8">
        <f>D18</f>
        <v/>
      </c>
      <c r="C19" s="8">
        <f>MIN($C$10,MAX(0,$C$7-B19))</f>
        <v/>
      </c>
      <c r="D19" s="8">
        <f>B19+C19</f>
        <v/>
      </c>
      <c r="E19" s="12">
        <f>IF(D19&gt;=$C$7,"EVET","")</f>
        <v/>
      </c>
    </row>
    <row r="20">
      <c r="A20" t="n">
        <v>7</v>
      </c>
      <c r="B20" s="8">
        <f>D19</f>
        <v/>
      </c>
      <c r="C20" s="8">
        <f>MIN($C$10,MAX(0,$C$7-B20))</f>
        <v/>
      </c>
      <c r="D20" s="8">
        <f>B20+C20</f>
        <v/>
      </c>
      <c r="E20" s="12">
        <f>IF(D20&gt;=$C$7,"EVET","")</f>
        <v/>
      </c>
    </row>
    <row r="21">
      <c r="A21" t="n">
        <v>8</v>
      </c>
      <c r="B21" s="8">
        <f>D20</f>
        <v/>
      </c>
      <c r="C21" s="8">
        <f>MIN($C$10,MAX(0,$C$7-B21))</f>
        <v/>
      </c>
      <c r="D21" s="8">
        <f>B21+C21</f>
        <v/>
      </c>
      <c r="E21" s="12">
        <f>IF(D21&gt;=$C$7,"EVET","")</f>
        <v/>
      </c>
    </row>
    <row r="22">
      <c r="A22" t="n">
        <v>9</v>
      </c>
      <c r="B22" s="8">
        <f>D21</f>
        <v/>
      </c>
      <c r="C22" s="8">
        <f>MIN($C$10,MAX(0,$C$7-B22))</f>
        <v/>
      </c>
      <c r="D22" s="8">
        <f>B22+C22</f>
        <v/>
      </c>
      <c r="E22" s="12">
        <f>IF(D22&gt;=$C$7,"EVET","")</f>
        <v/>
      </c>
    </row>
    <row r="23">
      <c r="A23" t="n">
        <v>10</v>
      </c>
      <c r="B23" s="8">
        <f>D22</f>
        <v/>
      </c>
      <c r="C23" s="8">
        <f>MIN($C$10,MAX(0,$C$7-B23))</f>
        <v/>
      </c>
      <c r="D23" s="8">
        <f>B23+C23</f>
        <v/>
      </c>
      <c r="E23" s="12">
        <f>IF(D23&gt;=$C$7,"EVET","")</f>
        <v/>
      </c>
    </row>
    <row r="24">
      <c r="A24" t="n">
        <v>11</v>
      </c>
      <c r="B24" s="8">
        <f>D23</f>
        <v/>
      </c>
      <c r="C24" s="8">
        <f>MIN($C$10,MAX(0,$C$7-B24))</f>
        <v/>
      </c>
      <c r="D24" s="8">
        <f>B24+C24</f>
        <v/>
      </c>
      <c r="E24" s="12">
        <f>IF(D24&gt;=$C$7,"EVET","")</f>
        <v/>
      </c>
    </row>
    <row r="25">
      <c r="A25" t="n">
        <v>12</v>
      </c>
      <c r="B25" s="8">
        <f>D24</f>
        <v/>
      </c>
      <c r="C25" s="8">
        <f>MIN($C$10,MAX(0,$C$7-B25))</f>
        <v/>
      </c>
      <c r="D25" s="8">
        <f>B25+C25</f>
        <v/>
      </c>
      <c r="E25" s="12">
        <f>IF(D25&gt;=$C$7,"EVET","")</f>
        <v/>
      </c>
    </row>
    <row r="26">
      <c r="A26" t="n">
        <v>13</v>
      </c>
      <c r="B26" s="8">
        <f>D25</f>
        <v/>
      </c>
      <c r="C26" s="8">
        <f>MIN($C$10,MAX(0,$C$7-B26))</f>
        <v/>
      </c>
      <c r="D26" s="8">
        <f>B26+C26</f>
        <v/>
      </c>
      <c r="E26" s="12">
        <f>IF(D26&gt;=$C$7,"EVET","")</f>
        <v/>
      </c>
    </row>
    <row r="27">
      <c r="A27" t="n">
        <v>14</v>
      </c>
      <c r="B27" s="8">
        <f>D26</f>
        <v/>
      </c>
      <c r="C27" s="8">
        <f>MIN($C$10,MAX(0,$C$7-B27))</f>
        <v/>
      </c>
      <c r="D27" s="8">
        <f>B27+C27</f>
        <v/>
      </c>
      <c r="E27" s="12">
        <f>IF(D27&gt;=$C$7,"EVET","")</f>
        <v/>
      </c>
    </row>
    <row r="28">
      <c r="A28" t="n">
        <v>15</v>
      </c>
      <c r="B28" s="8">
        <f>D27</f>
        <v/>
      </c>
      <c r="C28" s="8">
        <f>MIN($C$10,MAX(0,$C$7-B28))</f>
        <v/>
      </c>
      <c r="D28" s="8">
        <f>B28+C28</f>
        <v/>
      </c>
      <c r="E28" s="12">
        <f>IF(D28&gt;=$C$7,"EVET","")</f>
        <v/>
      </c>
    </row>
    <row r="29">
      <c r="A29" t="n">
        <v>16</v>
      </c>
      <c r="B29" s="8">
        <f>D28</f>
        <v/>
      </c>
      <c r="C29" s="8">
        <f>MIN($C$10,MAX(0,$C$7-B29))</f>
        <v/>
      </c>
      <c r="D29" s="8">
        <f>B29+C29</f>
        <v/>
      </c>
      <c r="E29" s="12">
        <f>IF(D29&gt;=$C$7,"EVET","")</f>
        <v/>
      </c>
    </row>
    <row r="30">
      <c r="A30" t="n">
        <v>17</v>
      </c>
      <c r="B30" s="8">
        <f>D29</f>
        <v/>
      </c>
      <c r="C30" s="8">
        <f>MIN($C$10,MAX(0,$C$7-B30))</f>
        <v/>
      </c>
      <c r="D30" s="8">
        <f>B30+C30</f>
        <v/>
      </c>
      <c r="E30" s="12">
        <f>IF(D30&gt;=$C$7,"EVET","")</f>
        <v/>
      </c>
    </row>
    <row r="31">
      <c r="A31" t="n">
        <v>18</v>
      </c>
      <c r="B31" s="8">
        <f>D30</f>
        <v/>
      </c>
      <c r="C31" s="8">
        <f>MIN($C$10,MAX(0,$C$7-B31))</f>
        <v/>
      </c>
      <c r="D31" s="8">
        <f>B31+C31</f>
        <v/>
      </c>
      <c r="E31" s="12">
        <f>IF(D31&gt;=$C$7,"EVET","")</f>
        <v/>
      </c>
    </row>
    <row r="32">
      <c r="A32" t="n">
        <v>19</v>
      </c>
      <c r="B32" s="8">
        <f>D31</f>
        <v/>
      </c>
      <c r="C32" s="8">
        <f>MIN($C$10,MAX(0,$C$7-B32))</f>
        <v/>
      </c>
      <c r="D32" s="8">
        <f>B32+C32</f>
        <v/>
      </c>
      <c r="E32" s="12">
        <f>IF(D32&gt;=$C$7,"EVET","")</f>
        <v/>
      </c>
    </row>
    <row r="33">
      <c r="A33" t="n">
        <v>20</v>
      </c>
      <c r="B33" s="8">
        <f>D32</f>
        <v/>
      </c>
      <c r="C33" s="8">
        <f>MIN($C$10,MAX(0,$C$7-B33))</f>
        <v/>
      </c>
      <c r="D33" s="8">
        <f>B33+C33</f>
        <v/>
      </c>
      <c r="E33" s="12">
        <f>IF(D33&gt;=$C$7,"EVET","")</f>
        <v/>
      </c>
    </row>
    <row r="34">
      <c r="A34" t="n">
        <v>21</v>
      </c>
      <c r="B34" s="8">
        <f>D33</f>
        <v/>
      </c>
      <c r="C34" s="8">
        <f>MIN($C$10,MAX(0,$C$7-B34))</f>
        <v/>
      </c>
      <c r="D34" s="8">
        <f>B34+C34</f>
        <v/>
      </c>
      <c r="E34" s="12">
        <f>IF(D34&gt;=$C$7,"EVET","")</f>
        <v/>
      </c>
    </row>
    <row r="35">
      <c r="A35" t="n">
        <v>22</v>
      </c>
      <c r="B35" s="8">
        <f>D34</f>
        <v/>
      </c>
      <c r="C35" s="8">
        <f>MIN($C$10,MAX(0,$C$7-B35))</f>
        <v/>
      </c>
      <c r="D35" s="8">
        <f>B35+C35</f>
        <v/>
      </c>
      <c r="E35" s="12">
        <f>IF(D35&gt;=$C$7,"EVET","")</f>
        <v/>
      </c>
    </row>
    <row r="36">
      <c r="A36" t="n">
        <v>23</v>
      </c>
      <c r="B36" s="8">
        <f>D35</f>
        <v/>
      </c>
      <c r="C36" s="8">
        <f>MIN($C$10,MAX(0,$C$7-B36))</f>
        <v/>
      </c>
      <c r="D36" s="8">
        <f>B36+C36</f>
        <v/>
      </c>
      <c r="E36" s="12">
        <f>IF(D36&gt;=$C$7,"EVET","")</f>
        <v/>
      </c>
    </row>
    <row r="37">
      <c r="A37" t="n">
        <v>24</v>
      </c>
      <c r="B37" s="8">
        <f>D36</f>
        <v/>
      </c>
      <c r="C37" s="8">
        <f>MIN($C$10,MAX(0,$C$7-B37))</f>
        <v/>
      </c>
      <c r="D37" s="8">
        <f>B37+C37</f>
        <v/>
      </c>
      <c r="E37" s="12">
        <f>IF(D37&gt;=$C$7,"EVET","")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hafta1-paranin-temelleri.xlsx</dc:title>
  <dcterms:created xsi:type="dcterms:W3CDTF">2026-09-25T11:08:08Z</dcterms:created>
  <dcterms:modified xsi:type="dcterms:W3CDTF">2026-09-25T11:08:08Z</dcterms:modified>
</cp:coreProperties>
</file>