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eşik Faiz" sheetId="1" state="visible" r:id="rId1"/>
    <sheet name="Kredi Kartı" sheetId="2" state="visible" r:id="rId2"/>
    <sheet name="Kredi Planı" sheetId="3" state="visible" r:id="rId3"/>
    <sheet name="Birikim Hedefi" sheetId="4" state="visible" r:id="rId4"/>
    <sheet name="Enflasy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TL&quot;"/>
    <numFmt numFmtId="165" formatCode="0.0%"/>
    <numFmt numFmtId="166" formatCode="#,##0.00 &quot;TL&quot;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9A3412"/>
      <sz val="9"/>
    </font>
    <font>
      <color rgb="005B6472"/>
      <sz val="9"/>
    </font>
    <font>
      <b val="1"/>
      <color rgb="00FFFFFF"/>
    </font>
    <font>
      <i val="1"/>
      <color rgb="005B6472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5" fillId="0" borderId="0" pivotButton="0" quotePrefix="0" xfId="0"/>
    <xf numFmtId="9" fontId="0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6" fillId="0" borderId="1" pivotButton="0" quotePrefix="0" xfId="0"/>
    <xf numFmtId="9" fontId="0" fillId="0" borderId="1" pivotButton="0" quotePrefix="0" xfId="0"/>
    <xf numFmtId="0" fontId="6" fillId="4" borderId="1" pivotButton="0" quotePrefix="0" xfId="0"/>
    <xf numFmtId="166" fontId="6" fillId="0" borderId="1" pivotButton="0" quotePrefix="0" xfId="0"/>
    <xf numFmtId="166" fontId="0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Basit ve Bileşik Faiz (2.1)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Anapara</t>
        </is>
      </c>
      <c r="C5" s="4" t="n">
        <v>100000</v>
      </c>
    </row>
    <row r="6">
      <c r="A6" t="inlineStr">
        <is>
          <t>Yıllık faiz oranı (ÖRNEK)</t>
        </is>
      </c>
      <c r="C6" s="5" t="n">
        <v>0.25</v>
      </c>
    </row>
    <row r="7">
      <c r="A7" t="inlineStr">
        <is>
          <t>Süre (yıl)</t>
        </is>
      </c>
      <c r="C7" s="6" t="n">
        <v>10</v>
      </c>
    </row>
    <row r="9" ht="30" customHeight="1">
      <c r="A9" s="7" t="inlineStr">
        <is>
          <t>Yıl</t>
        </is>
      </c>
      <c r="B9" s="7" t="inlineStr">
        <is>
          <t>Basit faizle</t>
        </is>
      </c>
      <c r="C9" s="7" t="inlineStr">
        <is>
          <t>Bileşik faizle</t>
        </is>
      </c>
      <c r="D9" s="7" t="inlineStr">
        <is>
          <t>Fark</t>
        </is>
      </c>
    </row>
    <row r="10">
      <c r="A10" t="n">
        <v>0</v>
      </c>
      <c r="B10" s="8">
        <f>$C$5*(1+$C$6*A10)</f>
        <v/>
      </c>
      <c r="C10" s="8">
        <f>$C$5*(1+$C$6)^A10</f>
        <v/>
      </c>
      <c r="D10" s="8">
        <f>C10-B10</f>
        <v/>
      </c>
    </row>
    <row r="11">
      <c r="A11" t="n">
        <v>1</v>
      </c>
      <c r="B11" s="8">
        <f>$C$5*(1+$C$6*A11)</f>
        <v/>
      </c>
      <c r="C11" s="8">
        <f>$C$5*(1+$C$6)^A11</f>
        <v/>
      </c>
      <c r="D11" s="8">
        <f>C11-B11</f>
        <v/>
      </c>
    </row>
    <row r="12">
      <c r="A12" t="n">
        <v>2</v>
      </c>
      <c r="B12" s="8">
        <f>$C$5*(1+$C$6*A12)</f>
        <v/>
      </c>
      <c r="C12" s="8">
        <f>$C$5*(1+$C$6)^A12</f>
        <v/>
      </c>
      <c r="D12" s="8">
        <f>C12-B12</f>
        <v/>
      </c>
    </row>
    <row r="13">
      <c r="A13" t="n">
        <v>3</v>
      </c>
      <c r="B13" s="8">
        <f>$C$5*(1+$C$6*A13)</f>
        <v/>
      </c>
      <c r="C13" s="8">
        <f>$C$5*(1+$C$6)^A13</f>
        <v/>
      </c>
      <c r="D13" s="8">
        <f>C13-B13</f>
        <v/>
      </c>
    </row>
    <row r="14">
      <c r="A14" t="n">
        <v>4</v>
      </c>
      <c r="B14" s="8">
        <f>$C$5*(1+$C$6*A14)</f>
        <v/>
      </c>
      <c r="C14" s="8">
        <f>$C$5*(1+$C$6)^A14</f>
        <v/>
      </c>
      <c r="D14" s="8">
        <f>C14-B14</f>
        <v/>
      </c>
    </row>
    <row r="15">
      <c r="A15" t="n">
        <v>5</v>
      </c>
      <c r="B15" s="8">
        <f>$C$5*(1+$C$6*A15)</f>
        <v/>
      </c>
      <c r="C15" s="8">
        <f>$C$5*(1+$C$6)^A15</f>
        <v/>
      </c>
      <c r="D15" s="8">
        <f>C15-B15</f>
        <v/>
      </c>
    </row>
    <row r="16">
      <c r="A16" t="n">
        <v>6</v>
      </c>
      <c r="B16" s="8">
        <f>$C$5*(1+$C$6*A16)</f>
        <v/>
      </c>
      <c r="C16" s="8">
        <f>$C$5*(1+$C$6)^A16</f>
        <v/>
      </c>
      <c r="D16" s="8">
        <f>C16-B16</f>
        <v/>
      </c>
    </row>
    <row r="17">
      <c r="A17" t="n">
        <v>7</v>
      </c>
      <c r="B17" s="8">
        <f>$C$5*(1+$C$6*A17)</f>
        <v/>
      </c>
      <c r="C17" s="8">
        <f>$C$5*(1+$C$6)^A17</f>
        <v/>
      </c>
      <c r="D17" s="8">
        <f>C17-B17</f>
        <v/>
      </c>
    </row>
    <row r="18">
      <c r="A18" t="n">
        <v>8</v>
      </c>
      <c r="B18" s="8">
        <f>$C$5*(1+$C$6*A18)</f>
        <v/>
      </c>
      <c r="C18" s="8">
        <f>$C$5*(1+$C$6)^A18</f>
        <v/>
      </c>
      <c r="D18" s="8">
        <f>C18-B18</f>
        <v/>
      </c>
    </row>
    <row r="19">
      <c r="A19" t="n">
        <v>9</v>
      </c>
      <c r="B19" s="8">
        <f>$C$5*(1+$C$6*A19)</f>
        <v/>
      </c>
      <c r="C19" s="8">
        <f>$C$5*(1+$C$6)^A19</f>
        <v/>
      </c>
      <c r="D19" s="8">
        <f>C19-B19</f>
        <v/>
      </c>
    </row>
    <row r="20">
      <c r="A20" t="n">
        <v>10</v>
      </c>
      <c r="B20" s="8">
        <f>$C$5*(1+$C$6*A20)</f>
        <v/>
      </c>
      <c r="C20" s="8">
        <f>$C$5*(1+$C$6)^A20</f>
        <v/>
      </c>
      <c r="D20" s="8">
        <f>C20-B20</f>
        <v/>
      </c>
    </row>
    <row r="22">
      <c r="A22" t="inlineStr">
        <is>
          <t>Kontrol: FV (GD) işleviyle son yıl</t>
        </is>
      </c>
      <c r="C22" s="8">
        <f>FV(C6,C7,0,-C5)</f>
        <v/>
      </c>
    </row>
    <row r="24">
      <c r="A24" s="9" t="inlineStr">
        <is>
          <t>Basit faiz yalnız anaparaya işler; bileşik faizde her yılın faizi bir sonraki yıl anaparaya eklenir.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Kredi Kartı: Bu Ay Ne Kadar Ödemeli? (2.2)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Dönem borcu (hesap özeti)</t>
        </is>
      </c>
      <c r="C5" s="4" t="n">
        <v>20000</v>
      </c>
    </row>
    <row r="6">
      <c r="A6" t="inlineStr">
        <is>
          <t>Aylık akdi faiz (ÖRNEK)</t>
        </is>
      </c>
      <c r="C6" s="5" t="n">
        <v>0.04</v>
      </c>
    </row>
    <row r="7">
      <c r="A7" t="inlineStr">
        <is>
          <t>Aylık gecikme faizi (ÖRNEK)</t>
        </is>
      </c>
      <c r="C7" s="5" t="n">
        <v>0.043</v>
      </c>
    </row>
    <row r="8">
      <c r="A8" t="inlineStr">
        <is>
          <t>Asgari ödeme oranı (sözleşmenizdeki)</t>
        </is>
      </c>
      <c r="C8" s="10" t="n">
        <v>0.2</v>
      </c>
    </row>
    <row r="10" ht="30" customHeight="1">
      <c r="A10" s="7" t="inlineStr">
        <is>
          <t>Seçenek</t>
        </is>
      </c>
      <c r="B10" s="7" t="inlineStr">
        <is>
          <t>Ödeme oranı</t>
        </is>
      </c>
      <c r="C10" s="7" t="inlineStr">
        <is>
          <t>Ödenen</t>
        </is>
      </c>
      <c r="D10" s="7" t="inlineStr">
        <is>
          <t>Kalan bakiye</t>
        </is>
      </c>
      <c r="E10" s="7" t="inlineStr">
        <is>
          <t>Faiz türü</t>
        </is>
      </c>
      <c r="F10" s="7" t="inlineStr">
        <is>
          <t>Aylık oran</t>
        </is>
      </c>
      <c r="G10" s="7" t="inlineStr">
        <is>
          <t>Bu ayın faizi</t>
        </is>
      </c>
    </row>
    <row r="11">
      <c r="A11" t="inlineStr">
        <is>
          <t>Tamamını öde</t>
        </is>
      </c>
      <c r="B11" s="10" t="n">
        <v>1</v>
      </c>
      <c r="C11" s="8">
        <f>$C$5*B11</f>
        <v/>
      </c>
      <c r="D11" s="8">
        <f>$C$5-C11</f>
        <v/>
      </c>
      <c r="E11" s="11">
        <f>IF(D11=0,"—",IF(B11&gt;=$C$8,"akdi","gecikme"))</f>
        <v/>
      </c>
      <c r="F11" s="12">
        <f>IF(D11=0,0,IF(B11&gt;=$C$8,$C$6,$C$7))</f>
        <v/>
      </c>
      <c r="G11" s="13">
        <f>D11*F11</f>
        <v/>
      </c>
    </row>
    <row r="12">
      <c r="A12" t="inlineStr">
        <is>
          <t>Yarısını öde</t>
        </is>
      </c>
      <c r="B12" s="10" t="n">
        <v>0.5</v>
      </c>
      <c r="C12" s="8">
        <f>$C$5*B12</f>
        <v/>
      </c>
      <c r="D12" s="8">
        <f>$C$5-C12</f>
        <v/>
      </c>
      <c r="E12" s="11">
        <f>IF(D12=0,"—",IF(B12&gt;=$C$8,"akdi","gecikme"))</f>
        <v/>
      </c>
      <c r="F12" s="12">
        <f>IF(D12=0,0,IF(B12&gt;=$C$8,$C$6,$C$7))</f>
        <v/>
      </c>
      <c r="G12" s="13">
        <f>D12*F12</f>
        <v/>
      </c>
    </row>
    <row r="13">
      <c r="A13" t="inlineStr">
        <is>
          <t>Asgari tutarı öde</t>
        </is>
      </c>
      <c r="B13" s="14">
        <f>C8</f>
        <v/>
      </c>
      <c r="C13" s="8">
        <f>$C$5*B13</f>
        <v/>
      </c>
      <c r="D13" s="8">
        <f>$C$5-C13</f>
        <v/>
      </c>
      <c r="E13" s="11">
        <f>IF(D13=0,"—",IF(B13&gt;=$C$8,"akdi","gecikme"))</f>
        <v/>
      </c>
      <c r="F13" s="12">
        <f>IF(D13=0,0,IF(B13&gt;=$C$8,$C$6,$C$7))</f>
        <v/>
      </c>
      <c r="G13" s="13">
        <f>D13*F13</f>
        <v/>
      </c>
    </row>
    <row r="14">
      <c r="A14" t="inlineStr">
        <is>
          <t>Asgari tutarın altında öde</t>
        </is>
      </c>
      <c r="B14" s="10" t="n">
        <v>0.1</v>
      </c>
      <c r="C14" s="8">
        <f>$C$5*B14</f>
        <v/>
      </c>
      <c r="D14" s="8">
        <f>$C$5-C14</f>
        <v/>
      </c>
      <c r="E14" s="11">
        <f>IF(D14=0,"—",IF(B14&gt;=$C$8,"akdi","gecikme"))</f>
        <v/>
      </c>
      <c r="F14" s="12">
        <f>IF(D14=0,0,IF(B14&gt;=$C$8,$C$6,$C$7))</f>
        <v/>
      </c>
      <c r="G14" s="13">
        <f>D14*F14</f>
        <v/>
      </c>
    </row>
    <row r="16">
      <c r="A16" s="9" t="inlineStr">
        <is>
          <t>Kavram modeli (YAKLAŞIK): tek hesap dönemi; vergi, ücret ve bankanın gün hesabı yok. Kalan bakiyeye faiz işler;</t>
        </is>
      </c>
    </row>
    <row r="17">
      <c r="A17" s="9" t="inlineStr">
        <is>
          <t>asgari tutarın altında ödemede gecikme faizi uygulanır (5464 sayılı Kanun md. 26). Gerçek tutar hesap özetinizdedir.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1" t="inlineStr">
        <is>
          <t>Kredi Geri Ödeme Planı (2.2)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Kredi tutarı</t>
        </is>
      </c>
      <c r="C5" s="4" t="n">
        <v>50000</v>
      </c>
    </row>
    <row r="6">
      <c r="A6" t="inlineStr">
        <is>
          <t>Aylık faiz (ÖRNEK)</t>
        </is>
      </c>
      <c r="C6" s="5" t="n">
        <v>0.03</v>
      </c>
    </row>
    <row r="7">
      <c r="A7" t="inlineStr">
        <is>
          <t>Vade (ay) — tablo 12 ay içindir</t>
        </is>
      </c>
      <c r="C7" s="6" t="n">
        <v>12</v>
      </c>
    </row>
    <row r="8">
      <c r="A8" s="15" t="inlineStr">
        <is>
          <t>Aylık taksit</t>
        </is>
      </c>
      <c r="C8" s="16">
        <f>-PMT(C6,C7,C5)</f>
        <v/>
      </c>
    </row>
    <row r="9">
      <c r="A9" t="inlineStr">
        <is>
          <t>Toplam geri ödeme</t>
        </is>
      </c>
      <c r="C9" s="17">
        <f>C8*C7</f>
        <v/>
      </c>
    </row>
    <row r="10">
      <c r="A10" s="15" t="inlineStr">
        <is>
          <t>Toplam faiz (kredinin faiz maliyeti)</t>
        </is>
      </c>
      <c r="C10" s="16">
        <f>C9-C5</f>
        <v/>
      </c>
    </row>
    <row r="12" ht="30" customHeight="1">
      <c r="A12" s="7" t="inlineStr">
        <is>
          <t>Ay</t>
        </is>
      </c>
      <c r="B12" s="7" t="inlineStr">
        <is>
          <t>Ay başı borç</t>
        </is>
      </c>
      <c r="C12" s="7" t="inlineStr">
        <is>
          <t>Taksit</t>
        </is>
      </c>
      <c r="D12" s="7" t="inlineStr">
        <is>
          <t>Faiz</t>
        </is>
      </c>
      <c r="E12" s="7" t="inlineStr">
        <is>
          <t>Anapara</t>
        </is>
      </c>
      <c r="F12" s="7" t="inlineStr">
        <is>
          <t>Ay sonu borç</t>
        </is>
      </c>
    </row>
    <row r="13">
      <c r="A13" t="n">
        <v>1</v>
      </c>
      <c r="B13" s="17">
        <f>C5</f>
        <v/>
      </c>
      <c r="C13" s="17">
        <f>$C$8</f>
        <v/>
      </c>
      <c r="D13" s="17">
        <f>B13*$C$6</f>
        <v/>
      </c>
      <c r="E13" s="17">
        <f>C13-D13</f>
        <v/>
      </c>
      <c r="F13" s="17">
        <f>B13-E13</f>
        <v/>
      </c>
    </row>
    <row r="14">
      <c r="A14" t="n">
        <v>2</v>
      </c>
      <c r="B14" s="17">
        <f>F13</f>
        <v/>
      </c>
      <c r="C14" s="17">
        <f>$C$8</f>
        <v/>
      </c>
      <c r="D14" s="17">
        <f>B14*$C$6</f>
        <v/>
      </c>
      <c r="E14" s="17">
        <f>C14-D14</f>
        <v/>
      </c>
      <c r="F14" s="17">
        <f>B14-E14</f>
        <v/>
      </c>
    </row>
    <row r="15">
      <c r="A15" t="n">
        <v>3</v>
      </c>
      <c r="B15" s="17">
        <f>F14</f>
        <v/>
      </c>
      <c r="C15" s="17">
        <f>$C$8</f>
        <v/>
      </c>
      <c r="D15" s="17">
        <f>B15*$C$6</f>
        <v/>
      </c>
      <c r="E15" s="17">
        <f>C15-D15</f>
        <v/>
      </c>
      <c r="F15" s="17">
        <f>B15-E15</f>
        <v/>
      </c>
    </row>
    <row r="16">
      <c r="A16" t="n">
        <v>4</v>
      </c>
      <c r="B16" s="17">
        <f>F15</f>
        <v/>
      </c>
      <c r="C16" s="17">
        <f>$C$8</f>
        <v/>
      </c>
      <c r="D16" s="17">
        <f>B16*$C$6</f>
        <v/>
      </c>
      <c r="E16" s="17">
        <f>C16-D16</f>
        <v/>
      </c>
      <c r="F16" s="17">
        <f>B16-E16</f>
        <v/>
      </c>
    </row>
    <row r="17">
      <c r="A17" t="n">
        <v>5</v>
      </c>
      <c r="B17" s="17">
        <f>F16</f>
        <v/>
      </c>
      <c r="C17" s="17">
        <f>$C$8</f>
        <v/>
      </c>
      <c r="D17" s="17">
        <f>B17*$C$6</f>
        <v/>
      </c>
      <c r="E17" s="17">
        <f>C17-D17</f>
        <v/>
      </c>
      <c r="F17" s="17">
        <f>B17-E17</f>
        <v/>
      </c>
    </row>
    <row r="18">
      <c r="A18" t="n">
        <v>6</v>
      </c>
      <c r="B18" s="17">
        <f>F17</f>
        <v/>
      </c>
      <c r="C18" s="17">
        <f>$C$8</f>
        <v/>
      </c>
      <c r="D18" s="17">
        <f>B18*$C$6</f>
        <v/>
      </c>
      <c r="E18" s="17">
        <f>C18-D18</f>
        <v/>
      </c>
      <c r="F18" s="17">
        <f>B18-E18</f>
        <v/>
      </c>
    </row>
    <row r="19">
      <c r="A19" t="n">
        <v>7</v>
      </c>
      <c r="B19" s="17">
        <f>F18</f>
        <v/>
      </c>
      <c r="C19" s="17">
        <f>$C$8</f>
        <v/>
      </c>
      <c r="D19" s="17">
        <f>B19*$C$6</f>
        <v/>
      </c>
      <c r="E19" s="17">
        <f>C19-D19</f>
        <v/>
      </c>
      <c r="F19" s="17">
        <f>B19-E19</f>
        <v/>
      </c>
    </row>
    <row r="20">
      <c r="A20" t="n">
        <v>8</v>
      </c>
      <c r="B20" s="17">
        <f>F19</f>
        <v/>
      </c>
      <c r="C20" s="17">
        <f>$C$8</f>
        <v/>
      </c>
      <c r="D20" s="17">
        <f>B20*$C$6</f>
        <v/>
      </c>
      <c r="E20" s="17">
        <f>C20-D20</f>
        <v/>
      </c>
      <c r="F20" s="17">
        <f>B20-E20</f>
        <v/>
      </c>
    </row>
    <row r="21">
      <c r="A21" t="n">
        <v>9</v>
      </c>
      <c r="B21" s="17">
        <f>F20</f>
        <v/>
      </c>
      <c r="C21" s="17">
        <f>$C$8</f>
        <v/>
      </c>
      <c r="D21" s="17">
        <f>B21*$C$6</f>
        <v/>
      </c>
      <c r="E21" s="17">
        <f>C21-D21</f>
        <v/>
      </c>
      <c r="F21" s="17">
        <f>B21-E21</f>
        <v/>
      </c>
    </row>
    <row r="22">
      <c r="A22" t="n">
        <v>10</v>
      </c>
      <c r="B22" s="17">
        <f>F21</f>
        <v/>
      </c>
      <c r="C22" s="17">
        <f>$C$8</f>
        <v/>
      </c>
      <c r="D22" s="17">
        <f>B22*$C$6</f>
        <v/>
      </c>
      <c r="E22" s="17">
        <f>C22-D22</f>
        <v/>
      </c>
      <c r="F22" s="17">
        <f>B22-E22</f>
        <v/>
      </c>
    </row>
    <row r="23">
      <c r="A23" t="n">
        <v>11</v>
      </c>
      <c r="B23" s="17">
        <f>F22</f>
        <v/>
      </c>
      <c r="C23" s="17">
        <f>$C$8</f>
        <v/>
      </c>
      <c r="D23" s="17">
        <f>B23*$C$6</f>
        <v/>
      </c>
      <c r="E23" s="17">
        <f>C23-D23</f>
        <v/>
      </c>
      <c r="F23" s="17">
        <f>B23-E23</f>
        <v/>
      </c>
    </row>
    <row r="24">
      <c r="A24" t="n">
        <v>12</v>
      </c>
      <c r="B24" s="17">
        <f>F23</f>
        <v/>
      </c>
      <c r="C24" s="17">
        <f>$C$8</f>
        <v/>
      </c>
      <c r="D24" s="17">
        <f>B24*$C$6</f>
        <v/>
      </c>
      <c r="E24" s="17">
        <f>C24-D24</f>
        <v/>
      </c>
      <c r="F24" s="17">
        <f>B24-E24</f>
        <v/>
      </c>
    </row>
    <row r="25">
      <c r="A25" s="15" t="inlineStr">
        <is>
          <t>Toplam</t>
        </is>
      </c>
      <c r="C25" s="16">
        <f>SUM(C13:C24)</f>
        <v/>
      </c>
      <c r="D25" s="16">
        <f>SUM(D13:D24)</f>
        <v/>
      </c>
      <c r="E25" s="16">
        <f>SUM(E13:E24)</f>
        <v/>
      </c>
    </row>
    <row r="27">
      <c r="A27" t="inlineStr">
        <is>
          <t>Kontrol: IPMT (FAİZTUTARI) ile 1. ay faizi</t>
        </is>
      </c>
      <c r="C27" s="17">
        <f>-IPMT(C6,1,C7,C5)</f>
        <v/>
      </c>
    </row>
    <row r="29">
      <c r="A29" s="9" t="inlineStr">
        <is>
          <t>Vergi, masraf ve sigorta bu tabloda yok. Kredinin toplam maliyeti sözleşme öncesi bilgi formunda yazar (6502 sayılı Kanun md. 23).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3" customWidth="1" min="4" max="4"/>
    <col width="15" customWidth="1" min="5" max="5"/>
  </cols>
  <sheetData>
    <row r="1">
      <c r="A1" s="1" t="inlineStr">
        <is>
          <t>Birikim Hedefi: Ayda Ne Kadar? (2.3)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Hedef tutar</t>
        </is>
      </c>
      <c r="C5" s="4" t="n">
        <v>120000</v>
      </c>
    </row>
    <row r="6">
      <c r="A6" t="inlineStr">
        <is>
          <t>Süre (ay) — tablo 24 ay içindir</t>
        </is>
      </c>
      <c r="C6" s="6" t="n">
        <v>24</v>
      </c>
    </row>
    <row r="7">
      <c r="A7" t="inlineStr">
        <is>
          <t>Birikimin aylık getirisi (ÖRNEK)</t>
        </is>
      </c>
      <c r="C7" s="5" t="n">
        <v>0.015</v>
      </c>
    </row>
    <row r="8">
      <c r="A8" t="inlineStr">
        <is>
          <t>Şu anki birikim</t>
        </is>
      </c>
      <c r="C8" s="4" t="n">
        <v>10000</v>
      </c>
    </row>
    <row r="9">
      <c r="A9" s="15" t="inlineStr">
        <is>
          <t>Gereken aylık katkı</t>
        </is>
      </c>
      <c r="C9" s="16">
        <f>-PMT(C7,C6,-C8,C5)</f>
        <v/>
      </c>
    </row>
    <row r="10">
      <c r="A10" t="inlineStr">
        <is>
          <t>Getiri olmasaydı gereken aylık katkı</t>
        </is>
      </c>
      <c r="C10" s="17">
        <f>(C5-C8)/C6</f>
        <v/>
      </c>
    </row>
    <row r="11">
      <c r="A11" t="inlineStr">
        <is>
          <t>Getirinin toplam katkısı</t>
        </is>
      </c>
      <c r="C11" s="17">
        <f>C5-C8-C9*C6</f>
        <v/>
      </c>
    </row>
    <row r="13" ht="30" customHeight="1">
      <c r="A13" s="7" t="inlineStr">
        <is>
          <t>Ay</t>
        </is>
      </c>
      <c r="B13" s="7" t="inlineStr">
        <is>
          <t>Ay başı</t>
        </is>
      </c>
      <c r="C13" s="7" t="inlineStr">
        <is>
          <t>Katkı</t>
        </is>
      </c>
      <c r="D13" s="7" t="inlineStr">
        <is>
          <t>Getiri</t>
        </is>
      </c>
      <c r="E13" s="7" t="inlineStr">
        <is>
          <t>Ay sonu</t>
        </is>
      </c>
    </row>
    <row r="14">
      <c r="A14" t="n">
        <v>1</v>
      </c>
      <c r="B14" s="17">
        <f>C8</f>
        <v/>
      </c>
      <c r="C14" s="17">
        <f>$C$9</f>
        <v/>
      </c>
      <c r="D14" s="17">
        <f>B14*$C$7</f>
        <v/>
      </c>
      <c r="E14" s="17">
        <f>B14+C14+D14</f>
        <v/>
      </c>
    </row>
    <row r="15">
      <c r="A15" t="n">
        <v>2</v>
      </c>
      <c r="B15" s="17">
        <f>E14</f>
        <v/>
      </c>
      <c r="C15" s="17">
        <f>$C$9</f>
        <v/>
      </c>
      <c r="D15" s="17">
        <f>B15*$C$7</f>
        <v/>
      </c>
      <c r="E15" s="17">
        <f>B15+C15+D15</f>
        <v/>
      </c>
    </row>
    <row r="16">
      <c r="A16" t="n">
        <v>3</v>
      </c>
      <c r="B16" s="17">
        <f>E15</f>
        <v/>
      </c>
      <c r="C16" s="17">
        <f>$C$9</f>
        <v/>
      </c>
      <c r="D16" s="17">
        <f>B16*$C$7</f>
        <v/>
      </c>
      <c r="E16" s="17">
        <f>B16+C16+D16</f>
        <v/>
      </c>
    </row>
    <row r="17">
      <c r="A17" t="n">
        <v>4</v>
      </c>
      <c r="B17" s="17">
        <f>E16</f>
        <v/>
      </c>
      <c r="C17" s="17">
        <f>$C$9</f>
        <v/>
      </c>
      <c r="D17" s="17">
        <f>B17*$C$7</f>
        <v/>
      </c>
      <c r="E17" s="17">
        <f>B17+C17+D17</f>
        <v/>
      </c>
    </row>
    <row r="18">
      <c r="A18" t="n">
        <v>5</v>
      </c>
      <c r="B18" s="17">
        <f>E17</f>
        <v/>
      </c>
      <c r="C18" s="17">
        <f>$C$9</f>
        <v/>
      </c>
      <c r="D18" s="17">
        <f>B18*$C$7</f>
        <v/>
      </c>
      <c r="E18" s="17">
        <f>B18+C18+D18</f>
        <v/>
      </c>
    </row>
    <row r="19">
      <c r="A19" t="n">
        <v>6</v>
      </c>
      <c r="B19" s="17">
        <f>E18</f>
        <v/>
      </c>
      <c r="C19" s="17">
        <f>$C$9</f>
        <v/>
      </c>
      <c r="D19" s="17">
        <f>B19*$C$7</f>
        <v/>
      </c>
      <c r="E19" s="17">
        <f>B19+C19+D19</f>
        <v/>
      </c>
    </row>
    <row r="20">
      <c r="A20" t="n">
        <v>7</v>
      </c>
      <c r="B20" s="17">
        <f>E19</f>
        <v/>
      </c>
      <c r="C20" s="17">
        <f>$C$9</f>
        <v/>
      </c>
      <c r="D20" s="17">
        <f>B20*$C$7</f>
        <v/>
      </c>
      <c r="E20" s="17">
        <f>B20+C20+D20</f>
        <v/>
      </c>
    </row>
    <row r="21">
      <c r="A21" t="n">
        <v>8</v>
      </c>
      <c r="B21" s="17">
        <f>E20</f>
        <v/>
      </c>
      <c r="C21" s="17">
        <f>$C$9</f>
        <v/>
      </c>
      <c r="D21" s="17">
        <f>B21*$C$7</f>
        <v/>
      </c>
      <c r="E21" s="17">
        <f>B21+C21+D21</f>
        <v/>
      </c>
    </row>
    <row r="22">
      <c r="A22" t="n">
        <v>9</v>
      </c>
      <c r="B22" s="17">
        <f>E21</f>
        <v/>
      </c>
      <c r="C22" s="17">
        <f>$C$9</f>
        <v/>
      </c>
      <c r="D22" s="17">
        <f>B22*$C$7</f>
        <v/>
      </c>
      <c r="E22" s="17">
        <f>B22+C22+D22</f>
        <v/>
      </c>
    </row>
    <row r="23">
      <c r="A23" t="n">
        <v>10</v>
      </c>
      <c r="B23" s="17">
        <f>E22</f>
        <v/>
      </c>
      <c r="C23" s="17">
        <f>$C$9</f>
        <v/>
      </c>
      <c r="D23" s="17">
        <f>B23*$C$7</f>
        <v/>
      </c>
      <c r="E23" s="17">
        <f>B23+C23+D23</f>
        <v/>
      </c>
    </row>
    <row r="24">
      <c r="A24" t="n">
        <v>11</v>
      </c>
      <c r="B24" s="17">
        <f>E23</f>
        <v/>
      </c>
      <c r="C24" s="17">
        <f>$C$9</f>
        <v/>
      </c>
      <c r="D24" s="17">
        <f>B24*$C$7</f>
        <v/>
      </c>
      <c r="E24" s="17">
        <f>B24+C24+D24</f>
        <v/>
      </c>
    </row>
    <row r="25">
      <c r="A25" t="n">
        <v>12</v>
      </c>
      <c r="B25" s="17">
        <f>E24</f>
        <v/>
      </c>
      <c r="C25" s="17">
        <f>$C$9</f>
        <v/>
      </c>
      <c r="D25" s="17">
        <f>B25*$C$7</f>
        <v/>
      </c>
      <c r="E25" s="17">
        <f>B25+C25+D25</f>
        <v/>
      </c>
    </row>
    <row r="26">
      <c r="A26" t="n">
        <v>13</v>
      </c>
      <c r="B26" s="17">
        <f>E25</f>
        <v/>
      </c>
      <c r="C26" s="17">
        <f>$C$9</f>
        <v/>
      </c>
      <c r="D26" s="17">
        <f>B26*$C$7</f>
        <v/>
      </c>
      <c r="E26" s="17">
        <f>B26+C26+D26</f>
        <v/>
      </c>
    </row>
    <row r="27">
      <c r="A27" t="n">
        <v>14</v>
      </c>
      <c r="B27" s="17">
        <f>E26</f>
        <v/>
      </c>
      <c r="C27" s="17">
        <f>$C$9</f>
        <v/>
      </c>
      <c r="D27" s="17">
        <f>B27*$C$7</f>
        <v/>
      </c>
      <c r="E27" s="17">
        <f>B27+C27+D27</f>
        <v/>
      </c>
    </row>
    <row r="28">
      <c r="A28" t="n">
        <v>15</v>
      </c>
      <c r="B28" s="17">
        <f>E27</f>
        <v/>
      </c>
      <c r="C28" s="17">
        <f>$C$9</f>
        <v/>
      </c>
      <c r="D28" s="17">
        <f>B28*$C$7</f>
        <v/>
      </c>
      <c r="E28" s="17">
        <f>B28+C28+D28</f>
        <v/>
      </c>
    </row>
    <row r="29">
      <c r="A29" t="n">
        <v>16</v>
      </c>
      <c r="B29" s="17">
        <f>E28</f>
        <v/>
      </c>
      <c r="C29" s="17">
        <f>$C$9</f>
        <v/>
      </c>
      <c r="D29" s="17">
        <f>B29*$C$7</f>
        <v/>
      </c>
      <c r="E29" s="17">
        <f>B29+C29+D29</f>
        <v/>
      </c>
    </row>
    <row r="30">
      <c r="A30" t="n">
        <v>17</v>
      </c>
      <c r="B30" s="17">
        <f>E29</f>
        <v/>
      </c>
      <c r="C30" s="17">
        <f>$C$9</f>
        <v/>
      </c>
      <c r="D30" s="17">
        <f>B30*$C$7</f>
        <v/>
      </c>
      <c r="E30" s="17">
        <f>B30+C30+D30</f>
        <v/>
      </c>
    </row>
    <row r="31">
      <c r="A31" t="n">
        <v>18</v>
      </c>
      <c r="B31" s="17">
        <f>E30</f>
        <v/>
      </c>
      <c r="C31" s="17">
        <f>$C$9</f>
        <v/>
      </c>
      <c r="D31" s="17">
        <f>B31*$C$7</f>
        <v/>
      </c>
      <c r="E31" s="17">
        <f>B31+C31+D31</f>
        <v/>
      </c>
    </row>
    <row r="32">
      <c r="A32" t="n">
        <v>19</v>
      </c>
      <c r="B32" s="17">
        <f>E31</f>
        <v/>
      </c>
      <c r="C32" s="17">
        <f>$C$9</f>
        <v/>
      </c>
      <c r="D32" s="17">
        <f>B32*$C$7</f>
        <v/>
      </c>
      <c r="E32" s="17">
        <f>B32+C32+D32</f>
        <v/>
      </c>
    </row>
    <row r="33">
      <c r="A33" t="n">
        <v>20</v>
      </c>
      <c r="B33" s="17">
        <f>E32</f>
        <v/>
      </c>
      <c r="C33" s="17">
        <f>$C$9</f>
        <v/>
      </c>
      <c r="D33" s="17">
        <f>B33*$C$7</f>
        <v/>
      </c>
      <c r="E33" s="17">
        <f>B33+C33+D33</f>
        <v/>
      </c>
    </row>
    <row r="34">
      <c r="A34" t="n">
        <v>21</v>
      </c>
      <c r="B34" s="17">
        <f>E33</f>
        <v/>
      </c>
      <c r="C34" s="17">
        <f>$C$9</f>
        <v/>
      </c>
      <c r="D34" s="17">
        <f>B34*$C$7</f>
        <v/>
      </c>
      <c r="E34" s="17">
        <f>B34+C34+D34</f>
        <v/>
      </c>
    </row>
    <row r="35">
      <c r="A35" t="n">
        <v>22</v>
      </c>
      <c r="B35" s="17">
        <f>E34</f>
        <v/>
      </c>
      <c r="C35" s="17">
        <f>$C$9</f>
        <v/>
      </c>
      <c r="D35" s="17">
        <f>B35*$C$7</f>
        <v/>
      </c>
      <c r="E35" s="17">
        <f>B35+C35+D35</f>
        <v/>
      </c>
    </row>
    <row r="36">
      <c r="A36" t="n">
        <v>23</v>
      </c>
      <c r="B36" s="17">
        <f>E35</f>
        <v/>
      </c>
      <c r="C36" s="17">
        <f>$C$9</f>
        <v/>
      </c>
      <c r="D36" s="17">
        <f>B36*$C$7</f>
        <v/>
      </c>
      <c r="E36" s="17">
        <f>B36+C36+D36</f>
        <v/>
      </c>
    </row>
    <row r="37">
      <c r="A37" t="n">
        <v>24</v>
      </c>
      <c r="B37" s="17">
        <f>E36</f>
        <v/>
      </c>
      <c r="C37" s="17">
        <f>$C$9</f>
        <v/>
      </c>
      <c r="D37" s="17">
        <f>B37*$C$7</f>
        <v/>
      </c>
      <c r="E37" s="17">
        <f>B37+C37+D37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Enflasyonun Etkisi: Satın Alma Gücü (2.4)</t>
        </is>
      </c>
    </row>
    <row r="2">
      <c r="A2" s="2" t="inlineStr">
        <is>
          <t>ÖRNEK VERİ · Deniz Örnek uydurma bir kişidir · oranlar ÖRNEK değerdir, bugünkü piyasa bilgisi değildir</t>
        </is>
      </c>
    </row>
    <row r="3">
      <c r="A3" s="3" t="inlineStr">
        <is>
          <t>Sarı hücre = girdi (değiştirebilirsiniz) · beyaz hücre = formül (elle yazmayın)</t>
        </is>
      </c>
    </row>
    <row r="5">
      <c r="A5" t="inlineStr">
        <is>
          <t>Bugünkü sepet tutarı</t>
        </is>
      </c>
      <c r="C5" s="4" t="n">
        <v>10000</v>
      </c>
    </row>
    <row r="6">
      <c r="A6" t="inlineStr">
        <is>
          <t>Yıllık enflasyon (ÖRNEK)</t>
        </is>
      </c>
      <c r="C6" s="5" t="n">
        <v>0.2</v>
      </c>
    </row>
    <row r="7">
      <c r="A7" t="inlineStr">
        <is>
          <t>Birikimin yıllık faizi (ÖRNEK)</t>
        </is>
      </c>
      <c r="C7" s="5" t="n">
        <v>0.22</v>
      </c>
    </row>
    <row r="9" ht="30" customHeight="1">
      <c r="A9" s="7" t="inlineStr">
        <is>
          <t>Yıl</t>
        </is>
      </c>
      <c r="B9" s="7" t="inlineStr">
        <is>
          <t>Aynı sepetin fiyatı</t>
        </is>
      </c>
      <c r="C9" s="7" t="inlineStr">
        <is>
          <t>Paranın alım gücü (bugünkü TL)</t>
        </is>
      </c>
      <c r="D9" s="7" t="inlineStr">
        <is>
          <t>Birikimin tutarı</t>
        </is>
      </c>
      <c r="E9" s="7" t="inlineStr">
        <is>
          <t>Birikimin alım gücü (bugünkü TL)</t>
        </is>
      </c>
    </row>
    <row r="10">
      <c r="A10" t="n">
        <v>0</v>
      </c>
      <c r="B10" s="8">
        <f>$C$5*(1+$C$6)^A10</f>
        <v/>
      </c>
      <c r="C10" s="8">
        <f>$C$5/(1+$C$6)^A10</f>
        <v/>
      </c>
      <c r="D10" s="8">
        <f>$C$5*(1+$C$7)^A10</f>
        <v/>
      </c>
      <c r="E10" s="8">
        <f>D10/(1+$C$6)^A10</f>
        <v/>
      </c>
    </row>
    <row r="11">
      <c r="A11" t="n">
        <v>1</v>
      </c>
      <c r="B11" s="8">
        <f>$C$5*(1+$C$6)^A11</f>
        <v/>
      </c>
      <c r="C11" s="8">
        <f>$C$5/(1+$C$6)^A11</f>
        <v/>
      </c>
      <c r="D11" s="8">
        <f>$C$5*(1+$C$7)^A11</f>
        <v/>
      </c>
      <c r="E11" s="8">
        <f>D11/(1+$C$6)^A11</f>
        <v/>
      </c>
    </row>
    <row r="12">
      <c r="A12" t="n">
        <v>2</v>
      </c>
      <c r="B12" s="8">
        <f>$C$5*(1+$C$6)^A12</f>
        <v/>
      </c>
      <c r="C12" s="8">
        <f>$C$5/(1+$C$6)^A12</f>
        <v/>
      </c>
      <c r="D12" s="8">
        <f>$C$5*(1+$C$7)^A12</f>
        <v/>
      </c>
      <c r="E12" s="8">
        <f>D12/(1+$C$6)^A12</f>
        <v/>
      </c>
    </row>
    <row r="13">
      <c r="A13" t="n">
        <v>3</v>
      </c>
      <c r="B13" s="8">
        <f>$C$5*(1+$C$6)^A13</f>
        <v/>
      </c>
      <c r="C13" s="8">
        <f>$C$5/(1+$C$6)^A13</f>
        <v/>
      </c>
      <c r="D13" s="8">
        <f>$C$5*(1+$C$7)^A13</f>
        <v/>
      </c>
      <c r="E13" s="8">
        <f>D13/(1+$C$6)^A13</f>
        <v/>
      </c>
    </row>
    <row r="14">
      <c r="A14" t="n">
        <v>4</v>
      </c>
      <c r="B14" s="8">
        <f>$C$5*(1+$C$6)^A14</f>
        <v/>
      </c>
      <c r="C14" s="8">
        <f>$C$5/(1+$C$6)^A14</f>
        <v/>
      </c>
      <c r="D14" s="8">
        <f>$C$5*(1+$C$7)^A14</f>
        <v/>
      </c>
      <c r="E14" s="8">
        <f>D14/(1+$C$6)^A14</f>
        <v/>
      </c>
    </row>
    <row r="15">
      <c r="A15" t="n">
        <v>5</v>
      </c>
      <c r="B15" s="8">
        <f>$C$5*(1+$C$6)^A15</f>
        <v/>
      </c>
      <c r="C15" s="8">
        <f>$C$5/(1+$C$6)^A15</f>
        <v/>
      </c>
      <c r="D15" s="8">
        <f>$C$5*(1+$C$7)^A15</f>
        <v/>
      </c>
      <c r="E15" s="8">
        <f>D15/(1+$C$6)^A15</f>
        <v/>
      </c>
    </row>
    <row r="17">
      <c r="A17" s="15" t="inlineStr">
        <is>
          <t>Reel getiri (yıllık, enflasyondan arındırılmış)</t>
        </is>
      </c>
      <c r="C17" s="18">
        <f>(1+C7)/(1+C6)-1</f>
        <v/>
      </c>
    </row>
    <row r="18">
      <c r="A18" t="inlineStr">
        <is>
          <t>Birikim Hedefi 2 yıl sonra kaç TL eder?</t>
        </is>
      </c>
      <c r="C18" s="8">
        <f>'Birikim Hedefi'!C5*(1+C6)^2</f>
        <v/>
      </c>
    </row>
    <row r="19">
      <c r="A19" t="inlineStr">
        <is>
          <t>Bu tutar için gereken aylık katkı</t>
        </is>
      </c>
      <c r="C19" s="17">
        <f>-PMT('Birikim Hedefi'!C7,'Birikim Hedefi'!C6,-'Birikim Hedefi'!C8,C18)</f>
        <v/>
      </c>
    </row>
    <row r="21">
      <c r="A21" s="9" t="inlineStr">
        <is>
          <t>Resmî enflasyon verisi TÜİK'in Tüketici Fiyat Endeksi'dir (TÜFE); buradaki oran yalnız örnektir.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Finans 101 lab (uret.py)</dc:creator>
  <dc:title>hafta2-borc-ve-birikim.xlsx</dc:title>
  <dcterms:created xsi:type="dcterms:W3CDTF">2026-09-25T11:08:08Z</dcterms:created>
  <dcterms:modified xsi:type="dcterms:W3CDTF">2026-09-25T11:08:08Z</dcterms:modified>
</cp:coreProperties>
</file>