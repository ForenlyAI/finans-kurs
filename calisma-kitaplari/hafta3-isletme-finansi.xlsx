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âr ve Nakit" sheetId="1" state="visible" r:id="rId1"/>
    <sheet name="Başabaş" sheetId="2" state="visible" r:id="rId2"/>
    <sheet name="Fiyatlama" sheetId="3" state="visible" r:id="rId3"/>
    <sheet name="Nakit Akış Tablos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TL&quot;"/>
    <numFmt numFmtId="165" formatCode="0.0%"/>
    <numFmt numFmtId="166" formatCode="#,##0.00 &quot;TL&quot;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9A3412"/>
      <sz val="9"/>
    </font>
    <font>
      <color rgb="005B6472"/>
      <sz val="9"/>
    </font>
    <font>
      <i val="1"/>
      <color rgb="005B6472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2" borderId="1" pivotButton="0" quotePrefix="0" xfId="0"/>
    <xf numFmtId="164" fontId="0" fillId="0" borderId="1" pivotButton="0" quotePrefix="0" xfId="0"/>
    <xf numFmtId="0" fontId="6" fillId="4" borderId="1" pivotButton="0" quotePrefix="0" xfId="0"/>
    <xf numFmtId="164" fontId="6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3" fontId="6" fillId="0" borderId="1" pivotButton="0" quotePrefix="0" xfId="0"/>
    <xf numFmtId="3" fontId="0" fillId="2" borderId="1" pivotButton="0" quotePrefix="0" xfId="0"/>
    <xf numFmtId="3" fontId="0" fillId="0" borderId="1" pivotButton="0" quotePrefix="0" xfId="0"/>
    <xf numFmtId="3" fontId="0" fillId="0" borderId="0" pivotButton="0" quotePrefix="0" xfId="0"/>
    <xf numFmtId="166" fontId="0" fillId="0" borderId="1" pivotButton="0" quotePrefix="0" xfId="0"/>
    <xf numFmtId="166" fontId="6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5.5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3" customWidth="1" min="8" max="8"/>
  </cols>
  <sheetData>
    <row r="1">
      <c r="A1" s="1" t="inlineStr">
        <is>
          <t>Kâr ile Nakit Aynı Şey Değil · ilk 6 ay (3.1)</t>
        </is>
      </c>
    </row>
    <row r="2">
      <c r="A2" s="2" t="inlineStr">
        <is>
          <t>ÖRNEK VERİ · Örnek Mum Atölyesi uydurma bir işletmedir · tutarlar ve oranlar ÖRNEKTİR · vergiler bu tabloda yoktur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Satışın peşin tahsil edilen oranı</t>
        </is>
      </c>
      <c r="C5" s="4" t="n">
        <v>0.4</v>
      </c>
      <c r="D5" s="5" t="inlineStr">
        <is>
          <t>Kalanı iki ay sonra tahsil edilir (vadeli satış).</t>
        </is>
      </c>
    </row>
    <row r="8" ht="30" customHeight="1">
      <c r="A8" s="6" t="inlineStr">
        <is>
          <t>Kalem</t>
        </is>
      </c>
      <c r="B8" s="6" t="inlineStr">
        <is>
          <t>Ocak</t>
        </is>
      </c>
      <c r="C8" s="6" t="inlineStr">
        <is>
          <t>Şubat</t>
        </is>
      </c>
      <c r="D8" s="6" t="inlineStr">
        <is>
          <t>Mart</t>
        </is>
      </c>
      <c r="E8" s="6" t="inlineStr">
        <is>
          <t>Nisan</t>
        </is>
      </c>
      <c r="F8" s="6" t="inlineStr">
        <is>
          <t>Mayıs</t>
        </is>
      </c>
      <c r="G8" s="6" t="inlineStr">
        <is>
          <t>Haziran</t>
        </is>
      </c>
      <c r="H8" s="6" t="inlineStr">
        <is>
          <t>Toplam</t>
        </is>
      </c>
    </row>
    <row r="9">
      <c r="A9" t="inlineStr">
        <is>
          <t>Satış (kesilen fatura)</t>
        </is>
      </c>
      <c r="B9" s="7" t="n">
        <v>40000</v>
      </c>
      <c r="C9" s="7" t="n">
        <v>55000</v>
      </c>
      <c r="D9" s="7" t="n">
        <v>70000</v>
      </c>
      <c r="E9" s="7" t="n">
        <v>80000</v>
      </c>
      <c r="F9" s="7" t="n">
        <v>90000</v>
      </c>
      <c r="G9" s="7" t="n">
        <v>100000</v>
      </c>
      <c r="H9" s="8">
        <f>SUM(B9:G9)</f>
        <v/>
      </c>
    </row>
    <row r="10">
      <c r="A10" t="inlineStr">
        <is>
          <t>Giderler (aynı ay ödenen)</t>
        </is>
      </c>
      <c r="B10" s="7" t="n">
        <v>45000</v>
      </c>
      <c r="C10" s="7" t="n">
        <v>50000</v>
      </c>
      <c r="D10" s="7" t="n">
        <v>55000</v>
      </c>
      <c r="E10" s="7" t="n">
        <v>60000</v>
      </c>
      <c r="F10" s="7" t="n">
        <v>62000</v>
      </c>
      <c r="G10" s="7" t="n">
        <v>65000</v>
      </c>
      <c r="H10" s="8">
        <f>SUM(B10:G10)</f>
        <v/>
      </c>
    </row>
    <row r="11">
      <c r="A11" s="9" t="inlineStr">
        <is>
          <t>Kâr (satış − gider)</t>
        </is>
      </c>
      <c r="B11" s="10">
        <f>B9-B10</f>
        <v/>
      </c>
      <c r="C11" s="10">
        <f>C9-C10</f>
        <v/>
      </c>
      <c r="D11" s="10">
        <f>D9-D10</f>
        <v/>
      </c>
      <c r="E11" s="10">
        <f>E9-E10</f>
        <v/>
      </c>
      <c r="F11" s="10">
        <f>F9-F10</f>
        <v/>
      </c>
      <c r="G11" s="10">
        <f>G9-G10</f>
        <v/>
      </c>
      <c r="H11" s="8">
        <f>SUM(B11:G11)</f>
        <v/>
      </c>
    </row>
    <row r="12">
      <c r="A12" t="inlineStr">
        <is>
          <t>Tahsilat: peşin kısım</t>
        </is>
      </c>
      <c r="B12" s="8">
        <f>B9*$C$5</f>
        <v/>
      </c>
      <c r="C12" s="8">
        <f>C9*$C$5</f>
        <v/>
      </c>
      <c r="D12" s="8">
        <f>D9*$C$5</f>
        <v/>
      </c>
      <c r="E12" s="8">
        <f>E9*$C$5</f>
        <v/>
      </c>
      <c r="F12" s="8">
        <f>F9*$C$5</f>
        <v/>
      </c>
      <c r="G12" s="8">
        <f>G9*$C$5</f>
        <v/>
      </c>
      <c r="H12" s="8">
        <f>SUM(B12:G12)</f>
        <v/>
      </c>
    </row>
    <row r="13">
      <c r="A13" t="inlineStr">
        <is>
          <t>Tahsilat: iki ay önceki satışın kalanı</t>
        </is>
      </c>
      <c r="B13" s="7" t="n">
        <v>0</v>
      </c>
      <c r="C13" s="7" t="n">
        <v>0</v>
      </c>
      <c r="D13" s="8">
        <f>B9*(1-$C$5)</f>
        <v/>
      </c>
      <c r="E13" s="8">
        <f>C9*(1-$C$5)</f>
        <v/>
      </c>
      <c r="F13" s="8">
        <f>D9*(1-$C$5)</f>
        <v/>
      </c>
      <c r="G13" s="8">
        <f>E9*(1-$C$5)</f>
        <v/>
      </c>
      <c r="H13" s="8">
        <f>SUM(B13:G13)</f>
        <v/>
      </c>
    </row>
    <row r="14">
      <c r="A14" t="inlineStr">
        <is>
          <t>Nakit girişi</t>
        </is>
      </c>
      <c r="B14" s="8">
        <f>B12+B13</f>
        <v/>
      </c>
      <c r="C14" s="8">
        <f>C12+C13</f>
        <v/>
      </c>
      <c r="D14" s="8">
        <f>D12+D13</f>
        <v/>
      </c>
      <c r="E14" s="8">
        <f>E12+E13</f>
        <v/>
      </c>
      <c r="F14" s="8">
        <f>F12+F13</f>
        <v/>
      </c>
      <c r="G14" s="8">
        <f>G12+G13</f>
        <v/>
      </c>
      <c r="H14" s="8">
        <f>SUM(B14:G14)</f>
        <v/>
      </c>
    </row>
    <row r="15">
      <c r="A15" s="9" t="inlineStr">
        <is>
          <t>Nakit akışı (giriş − gider)</t>
        </is>
      </c>
      <c r="B15" s="10">
        <f>B14-B10</f>
        <v/>
      </c>
      <c r="C15" s="10">
        <f>C14-C10</f>
        <v/>
      </c>
      <c r="D15" s="10">
        <f>D14-D10</f>
        <v/>
      </c>
      <c r="E15" s="10">
        <f>E14-E10</f>
        <v/>
      </c>
      <c r="F15" s="10">
        <f>F14-F10</f>
        <v/>
      </c>
      <c r="G15" s="10">
        <f>G14-G10</f>
        <v/>
      </c>
      <c r="H15" s="8">
        <f>SUM(B15:G15)</f>
        <v/>
      </c>
    </row>
    <row r="16">
      <c r="A16" t="inlineStr">
        <is>
          <t>Birikimli kâr</t>
        </is>
      </c>
      <c r="B16" s="8">
        <f>B11</f>
        <v/>
      </c>
      <c r="C16" s="8">
        <f>B16+C11</f>
        <v/>
      </c>
      <c r="D16" s="8">
        <f>C16+D11</f>
        <v/>
      </c>
      <c r="E16" s="8">
        <f>D16+E11</f>
        <v/>
      </c>
      <c r="F16" s="8">
        <f>E16+F11</f>
        <v/>
      </c>
      <c r="G16" s="8">
        <f>F16+G11</f>
        <v/>
      </c>
    </row>
    <row r="17">
      <c r="A17" t="inlineStr">
        <is>
          <t>Birikimli nakit</t>
        </is>
      </c>
      <c r="B17" s="8">
        <f>B15</f>
        <v/>
      </c>
      <c r="C17" s="8">
        <f>B17+C15</f>
        <v/>
      </c>
      <c r="D17" s="8">
        <f>C17+D15</f>
        <v/>
      </c>
      <c r="E17" s="8">
        <f>D17+E15</f>
        <v/>
      </c>
      <c r="F17" s="8">
        <f>E17+F15</f>
        <v/>
      </c>
      <c r="G17" s="8">
        <f>F17+G15</f>
        <v/>
      </c>
    </row>
    <row r="18">
      <c r="A18" t="inlineStr">
        <is>
          <t>Kâr artıda, nakit ekside mi?</t>
        </is>
      </c>
      <c r="B18" s="11">
        <f>IF(AND(B16&gt;0,B17&lt;0),"EVET","")</f>
        <v/>
      </c>
      <c r="C18" s="11">
        <f>IF(AND(C16&gt;0,C17&lt;0),"EVET","")</f>
        <v/>
      </c>
      <c r="D18" s="11">
        <f>IF(AND(D16&gt;0,D17&lt;0),"EVET","")</f>
        <v/>
      </c>
      <c r="E18" s="11">
        <f>IF(AND(E16&gt;0,E17&lt;0),"EVET","")</f>
        <v/>
      </c>
      <c r="F18" s="11">
        <f>IF(AND(F16&gt;0,F17&lt;0),"EVET","")</f>
        <v/>
      </c>
      <c r="G18" s="11">
        <f>IF(AND(G16&gt;0,G17&lt;0),"EVET","")</f>
        <v/>
      </c>
    </row>
    <row r="20">
      <c r="A20" s="9" t="inlineStr">
        <is>
          <t>Başlangıçta gereken nakit (en düşük birikimli nakit)</t>
        </is>
      </c>
      <c r="C20" s="10">
        <f>-MIN(B17:G17)</f>
        <v/>
      </c>
    </row>
    <row r="22">
      <c r="A22" s="5" t="inlineStr">
        <is>
          <t>Kâr, faturanın kesildiği ayda; nakit, paranın kasaya girdiği ayda görünür.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4" customWidth="1" min="4" max="4"/>
    <col width="15" customWidth="1" min="5" max="5"/>
    <col width="15" customWidth="1" min="6" max="6"/>
  </cols>
  <sheetData>
    <row r="1">
      <c r="A1" s="1" t="inlineStr">
        <is>
          <t>Başabaş Noktası (3.2)</t>
        </is>
      </c>
    </row>
    <row r="2">
      <c r="A2" s="2" t="inlineStr">
        <is>
          <t>ÖRNEK VERİ · Örnek Mum Atölyesi uydurma bir işletmedir · tutarlar ve oranlar ÖRNEKTİR · vergiler bu tabloda yoktur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Aylık sabit giderler (kira, maaş …)</t>
        </is>
      </c>
      <c r="C5" s="7" t="n">
        <v>30000</v>
      </c>
    </row>
    <row r="6">
      <c r="A6" t="inlineStr">
        <is>
          <t>Birim satış fiyatı (bir mum)</t>
        </is>
      </c>
      <c r="C6" s="7" t="n">
        <v>250</v>
      </c>
    </row>
    <row r="7">
      <c r="A7" t="inlineStr">
        <is>
          <t>Birim değişken maliyet</t>
        </is>
      </c>
      <c r="C7" s="7" t="n">
        <v>130</v>
      </c>
    </row>
    <row r="8">
      <c r="A8" t="inlineStr">
        <is>
          <t>Birim katkı payı</t>
        </is>
      </c>
      <c r="C8" s="8">
        <f>C6-C7</f>
        <v/>
      </c>
    </row>
    <row r="9">
      <c r="A9" t="inlineStr">
        <is>
          <t>Katkı payı oranı</t>
        </is>
      </c>
      <c r="C9" s="12">
        <f>C8/C6</f>
        <v/>
      </c>
    </row>
    <row r="10">
      <c r="A10" s="9" t="inlineStr">
        <is>
          <t>Başabaş adedi (aylık)</t>
        </is>
      </c>
      <c r="C10" s="13">
        <f>ROUNDUP(C5/C8,0)</f>
        <v/>
      </c>
    </row>
    <row r="11">
      <c r="A11" t="inlineStr">
        <is>
          <t>Başabaş cirosu</t>
        </is>
      </c>
      <c r="C11" s="8">
        <f>C10*C6</f>
        <v/>
      </c>
    </row>
    <row r="12">
      <c r="A12" t="inlineStr">
        <is>
          <t>Beklenen satış (adet)</t>
        </is>
      </c>
      <c r="C12" s="14" t="n">
        <v>400</v>
      </c>
    </row>
    <row r="13">
      <c r="A13" t="inlineStr">
        <is>
          <t>Güvenlik payı (adet)</t>
        </is>
      </c>
      <c r="C13" s="15">
        <f>C12-C10</f>
        <v/>
      </c>
    </row>
    <row r="14">
      <c r="A14" s="9" t="inlineStr">
        <is>
          <t>Beklenen aylık kâr</t>
        </is>
      </c>
      <c r="C14" s="10">
        <f>C12*C8-C5</f>
        <v/>
      </c>
    </row>
    <row r="16" ht="30" customHeight="1">
      <c r="A16" s="6" t="inlineStr">
        <is>
          <t>Adet</t>
        </is>
      </c>
      <c r="B16" s="6" t="inlineStr">
        <is>
          <t>Ciro</t>
        </is>
      </c>
      <c r="C16" s="6" t="inlineStr">
        <is>
          <t>Değişken maliyet</t>
        </is>
      </c>
      <c r="D16" s="6" t="inlineStr">
        <is>
          <t>Sabit gider</t>
        </is>
      </c>
      <c r="E16" s="6" t="inlineStr">
        <is>
          <t>Toplam maliyet</t>
        </is>
      </c>
      <c r="F16" s="6" t="inlineStr">
        <is>
          <t>Kâr / zarar</t>
        </is>
      </c>
    </row>
    <row r="17">
      <c r="A17" s="16" t="n">
        <v>0</v>
      </c>
      <c r="B17" s="8">
        <f>A17*$C$6</f>
        <v/>
      </c>
      <c r="C17" s="8">
        <f>A17*$C$7</f>
        <v/>
      </c>
      <c r="D17" s="8">
        <f>$C$5</f>
        <v/>
      </c>
      <c r="E17" s="8">
        <f>C17+D17</f>
        <v/>
      </c>
      <c r="F17" s="10">
        <f>B17-E17</f>
        <v/>
      </c>
    </row>
    <row r="18">
      <c r="A18" s="16" t="n">
        <v>50</v>
      </c>
      <c r="B18" s="8">
        <f>A18*$C$6</f>
        <v/>
      </c>
      <c r="C18" s="8">
        <f>A18*$C$7</f>
        <v/>
      </c>
      <c r="D18" s="8">
        <f>$C$5</f>
        <v/>
      </c>
      <c r="E18" s="8">
        <f>C18+D18</f>
        <v/>
      </c>
      <c r="F18" s="10">
        <f>B18-E18</f>
        <v/>
      </c>
    </row>
    <row r="19">
      <c r="A19" s="16" t="n">
        <v>100</v>
      </c>
      <c r="B19" s="8">
        <f>A19*$C$6</f>
        <v/>
      </c>
      <c r="C19" s="8">
        <f>A19*$C$7</f>
        <v/>
      </c>
      <c r="D19" s="8">
        <f>$C$5</f>
        <v/>
      </c>
      <c r="E19" s="8">
        <f>C19+D19</f>
        <v/>
      </c>
      <c r="F19" s="10">
        <f>B19-E19</f>
        <v/>
      </c>
    </row>
    <row r="20">
      <c r="A20" s="16" t="n">
        <v>150</v>
      </c>
      <c r="B20" s="8">
        <f>A20*$C$6</f>
        <v/>
      </c>
      <c r="C20" s="8">
        <f>A20*$C$7</f>
        <v/>
      </c>
      <c r="D20" s="8">
        <f>$C$5</f>
        <v/>
      </c>
      <c r="E20" s="8">
        <f>C20+D20</f>
        <v/>
      </c>
      <c r="F20" s="10">
        <f>B20-E20</f>
        <v/>
      </c>
    </row>
    <row r="21">
      <c r="A21" s="16" t="n">
        <v>200</v>
      </c>
      <c r="B21" s="8">
        <f>A21*$C$6</f>
        <v/>
      </c>
      <c r="C21" s="8">
        <f>A21*$C$7</f>
        <v/>
      </c>
      <c r="D21" s="8">
        <f>$C$5</f>
        <v/>
      </c>
      <c r="E21" s="8">
        <f>C21+D21</f>
        <v/>
      </c>
      <c r="F21" s="10">
        <f>B21-E21</f>
        <v/>
      </c>
    </row>
    <row r="22">
      <c r="A22" s="16" t="n">
        <v>250</v>
      </c>
      <c r="B22" s="8">
        <f>A22*$C$6</f>
        <v/>
      </c>
      <c r="C22" s="8">
        <f>A22*$C$7</f>
        <v/>
      </c>
      <c r="D22" s="8">
        <f>$C$5</f>
        <v/>
      </c>
      <c r="E22" s="8">
        <f>C22+D22</f>
        <v/>
      </c>
      <c r="F22" s="10">
        <f>B22-E22</f>
        <v/>
      </c>
    </row>
    <row r="23">
      <c r="A23" s="16" t="n">
        <v>300</v>
      </c>
      <c r="B23" s="8">
        <f>A23*$C$6</f>
        <v/>
      </c>
      <c r="C23" s="8">
        <f>A23*$C$7</f>
        <v/>
      </c>
      <c r="D23" s="8">
        <f>$C$5</f>
        <v/>
      </c>
      <c r="E23" s="8">
        <f>C23+D23</f>
        <v/>
      </c>
      <c r="F23" s="10">
        <f>B23-E23</f>
        <v/>
      </c>
    </row>
    <row r="24">
      <c r="A24" s="16" t="n">
        <v>350</v>
      </c>
      <c r="B24" s="8">
        <f>A24*$C$6</f>
        <v/>
      </c>
      <c r="C24" s="8">
        <f>A24*$C$7</f>
        <v/>
      </c>
      <c r="D24" s="8">
        <f>$C$5</f>
        <v/>
      </c>
      <c r="E24" s="8">
        <f>C24+D24</f>
        <v/>
      </c>
      <c r="F24" s="10">
        <f>B24-E24</f>
        <v/>
      </c>
    </row>
    <row r="25">
      <c r="A25" s="16" t="n">
        <v>400</v>
      </c>
      <c r="B25" s="8">
        <f>A25*$C$6</f>
        <v/>
      </c>
      <c r="C25" s="8">
        <f>A25*$C$7</f>
        <v/>
      </c>
      <c r="D25" s="8">
        <f>$C$5</f>
        <v/>
      </c>
      <c r="E25" s="8">
        <f>C25+D25</f>
        <v/>
      </c>
      <c r="F25" s="10">
        <f>B25-E25</f>
        <v/>
      </c>
    </row>
    <row r="26">
      <c r="A26" s="16" t="n">
        <v>450</v>
      </c>
      <c r="B26" s="8">
        <f>A26*$C$6</f>
        <v/>
      </c>
      <c r="C26" s="8">
        <f>A26*$C$7</f>
        <v/>
      </c>
      <c r="D26" s="8">
        <f>$C$5</f>
        <v/>
      </c>
      <c r="E26" s="8">
        <f>C26+D26</f>
        <v/>
      </c>
      <c r="F26" s="10">
        <f>B26-E26</f>
        <v/>
      </c>
    </row>
    <row r="27">
      <c r="A27" s="16" t="n">
        <v>500</v>
      </c>
      <c r="B27" s="8">
        <f>A27*$C$6</f>
        <v/>
      </c>
      <c r="C27" s="8">
        <f>A27*$C$7</f>
        <v/>
      </c>
      <c r="D27" s="8">
        <f>$C$5</f>
        <v/>
      </c>
      <c r="E27" s="8">
        <f>C27+D27</f>
        <v/>
      </c>
      <c r="F27" s="10">
        <f>B27-E27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Fiyatlama: Maliyet, Marj, Başabaş (3.3)</t>
        </is>
      </c>
    </row>
    <row r="2">
      <c r="A2" s="2" t="inlineStr">
        <is>
          <t>ÖRNEK VERİ · Örnek Mum Atölyesi uydurma bir işletmedir · tutarlar ve oranlar ÖRNEKTİR · vergiler bu tabloda yoktur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Birim değişken maliyet (Başabaş sayfasından)</t>
        </is>
      </c>
      <c r="C5" s="8">
        <f>'Başabaş'!C7</f>
        <v/>
      </c>
    </row>
    <row r="6">
      <c r="A6" t="inlineStr">
        <is>
          <t>Aylık sabit gider (Başabaş sayfasından)</t>
        </is>
      </c>
      <c r="C6" s="8">
        <f>'Başabaş'!C5</f>
        <v/>
      </c>
    </row>
    <row r="7">
      <c r="A7" t="inlineStr">
        <is>
          <t>Beklenen satış (adet)</t>
        </is>
      </c>
      <c r="C7" s="15">
        <f>'Başabaş'!C12</f>
        <v/>
      </c>
    </row>
    <row r="8">
      <c r="A8" t="inlineStr">
        <is>
          <t>Birim başına sabit gider payı</t>
        </is>
      </c>
      <c r="C8" s="17">
        <f>C6/C7</f>
        <v/>
      </c>
    </row>
    <row r="9">
      <c r="A9" s="9" t="inlineStr">
        <is>
          <t>Birim tam maliyet</t>
        </is>
      </c>
      <c r="C9" s="18">
        <f>C5+C8</f>
        <v/>
      </c>
    </row>
    <row r="10">
      <c r="A10" t="inlineStr">
        <is>
          <t>Maliyetin üstüne eklenen oran (ÖRNEK)</t>
        </is>
      </c>
      <c r="C10" s="4" t="n">
        <v>0.4</v>
      </c>
    </row>
    <row r="11">
      <c r="A11" s="9" t="inlineStr">
        <is>
          <t>Maliyet artı fiyat</t>
        </is>
      </c>
      <c r="C11" s="18">
        <f>C9*(1+C10)</f>
        <v/>
      </c>
    </row>
    <row r="12">
      <c r="A12" t="inlineStr">
        <is>
          <t>Bu fiyatta kâr marjı (fiyata göre)</t>
        </is>
      </c>
      <c r="C12" s="12">
        <f>(C11-C9)/C11</f>
        <v/>
      </c>
    </row>
    <row r="14" ht="30" customHeight="1">
      <c r="A14" s="6" t="inlineStr">
        <is>
          <t>Fiyat seçeneği</t>
        </is>
      </c>
      <c r="B14" s="6" t="inlineStr">
        <is>
          <t>Katkı payı</t>
        </is>
      </c>
      <c r="C14" s="6" t="inlineStr">
        <is>
          <t>Başabaş adedi</t>
        </is>
      </c>
      <c r="D14" s="6" t="inlineStr">
        <is>
          <t>Beklenen adette kâr</t>
        </is>
      </c>
      <c r="E14" s="6" t="inlineStr">
        <is>
          <t>Kâr marjı</t>
        </is>
      </c>
    </row>
    <row r="15">
      <c r="A15" s="7" t="n">
        <v>200</v>
      </c>
      <c r="B15" s="17">
        <f>A15-$C$5</f>
        <v/>
      </c>
      <c r="C15" s="15">
        <f>IFERROR(ROUNDUP($C$6/B15,0),"—")</f>
        <v/>
      </c>
      <c r="D15" s="8">
        <f>$C$7*B15-$C$6</f>
        <v/>
      </c>
      <c r="E15" s="12">
        <f>IFERROR(D15/($C$7*A15),0)</f>
        <v/>
      </c>
    </row>
    <row r="16">
      <c r="A16" s="7" t="n">
        <v>220</v>
      </c>
      <c r="B16" s="17">
        <f>A16-$C$5</f>
        <v/>
      </c>
      <c r="C16" s="15">
        <f>IFERROR(ROUNDUP($C$6/B16,0),"—")</f>
        <v/>
      </c>
      <c r="D16" s="8">
        <f>$C$7*B16-$C$6</f>
        <v/>
      </c>
      <c r="E16" s="12">
        <f>IFERROR(D16/($C$7*A16),0)</f>
        <v/>
      </c>
    </row>
    <row r="17">
      <c r="A17" s="7" t="n">
        <v>250</v>
      </c>
      <c r="B17" s="17">
        <f>A17-$C$5</f>
        <v/>
      </c>
      <c r="C17" s="15">
        <f>IFERROR(ROUNDUP($C$6/B17,0),"—")</f>
        <v/>
      </c>
      <c r="D17" s="8">
        <f>$C$7*B17-$C$6</f>
        <v/>
      </c>
      <c r="E17" s="12">
        <f>IFERROR(D17/($C$7*A17),0)</f>
        <v/>
      </c>
    </row>
    <row r="18">
      <c r="A18" s="17">
        <f>C11</f>
        <v/>
      </c>
      <c r="B18" s="17">
        <f>A18-$C$5</f>
        <v/>
      </c>
      <c r="C18" s="15">
        <f>IFERROR(ROUNDUP($C$6/B18,0),"—")</f>
        <v/>
      </c>
      <c r="D18" s="8">
        <f>$C$7*B18-$C$6</f>
        <v/>
      </c>
      <c r="E18" s="12">
        <f>IFERROR(D18/($C$7*A18),0)</f>
        <v/>
      </c>
    </row>
    <row r="19">
      <c r="A19" s="7" t="n">
        <v>320</v>
      </c>
      <c r="B19" s="17">
        <f>A19-$C$5</f>
        <v/>
      </c>
      <c r="C19" s="15">
        <f>IFERROR(ROUNDUP($C$6/B19,0),"—")</f>
        <v/>
      </c>
      <c r="D19" s="8">
        <f>$C$7*B19-$C$6</f>
        <v/>
      </c>
      <c r="E19" s="12">
        <f>IFERROR(D19/($C$7*A19),0)</f>
        <v/>
      </c>
    </row>
    <row r="21">
      <c r="A21" s="5" t="inlineStr">
        <is>
          <t>Beklenen adet her fiyatta aynı varsayıldı; gerçekte fiyat değişince talep de değişir. KDV vb. vergiler tabloda yok.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</cols>
  <sheetData>
    <row r="1">
      <c r="A1" s="1" t="inlineStr">
        <is>
          <t>12 Aylık İşletme Nakit Akış Tablosu (3.4)</t>
        </is>
      </c>
    </row>
    <row r="2">
      <c r="A2" s="2" t="inlineStr">
        <is>
          <t>ÖRNEK VERİ · Örnek Mum Atölyesi uydurma bir işletmedir · tutarlar ve oranlar ÖRNEKTİR · vergiler bu tabloda yoktur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Birim fiyat (Başabaş sayfasından)</t>
        </is>
      </c>
      <c r="C5" s="8">
        <f>'Başabaş'!C6</f>
        <v/>
      </c>
    </row>
    <row r="6">
      <c r="A6" t="inlineStr">
        <is>
          <t>Birim değişken maliyet (Başabaş sayfasından)</t>
        </is>
      </c>
      <c r="C6" s="8">
        <f>'Başabaş'!C7</f>
        <v/>
      </c>
    </row>
    <row r="7">
      <c r="A7" t="inlineStr">
        <is>
          <t>Satışın peşin tahsil edilen oranı (kalanı ertesi ay)</t>
        </is>
      </c>
      <c r="C7" s="4" t="n">
        <v>0.5</v>
      </c>
    </row>
    <row r="9" ht="30" customHeight="1">
      <c r="A9" s="6" t="inlineStr">
        <is>
          <t>Kalem</t>
        </is>
      </c>
      <c r="B9" s="6" t="inlineStr">
        <is>
          <t>Ocak</t>
        </is>
      </c>
      <c r="C9" s="6" t="inlineStr">
        <is>
          <t>Şubat</t>
        </is>
      </c>
      <c r="D9" s="6" t="inlineStr">
        <is>
          <t>Mart</t>
        </is>
      </c>
      <c r="E9" s="6" t="inlineStr">
        <is>
          <t>Nisan</t>
        </is>
      </c>
      <c r="F9" s="6" t="inlineStr">
        <is>
          <t>Mayıs</t>
        </is>
      </c>
      <c r="G9" s="6" t="inlineStr">
        <is>
          <t>Haziran</t>
        </is>
      </c>
      <c r="H9" s="6" t="inlineStr">
        <is>
          <t>Temmuz</t>
        </is>
      </c>
      <c r="I9" s="6" t="inlineStr">
        <is>
          <t>Ağustos</t>
        </is>
      </c>
      <c r="J9" s="6" t="inlineStr">
        <is>
          <t>Eylül</t>
        </is>
      </c>
      <c r="K9" s="6" t="inlineStr">
        <is>
          <t>Ekim</t>
        </is>
      </c>
      <c r="L9" s="6" t="inlineStr">
        <is>
          <t>Kasım</t>
        </is>
      </c>
      <c r="M9" s="6" t="inlineStr">
        <is>
          <t>Aralık</t>
        </is>
      </c>
      <c r="N9" s="6" t="inlineStr">
        <is>
          <t>Yıl toplamı</t>
        </is>
      </c>
    </row>
    <row r="10">
      <c r="A10" t="inlineStr">
        <is>
          <t>Satış adedi</t>
        </is>
      </c>
      <c r="B10" s="14" t="n">
        <v>250</v>
      </c>
      <c r="C10" s="14" t="n">
        <v>260</v>
      </c>
      <c r="D10" s="14" t="n">
        <v>300</v>
      </c>
      <c r="E10" s="14" t="n">
        <v>320</v>
      </c>
      <c r="F10" s="14" t="n">
        <v>350</v>
      </c>
      <c r="G10" s="14" t="n">
        <v>300</v>
      </c>
      <c r="H10" s="14" t="n">
        <v>280</v>
      </c>
      <c r="I10" s="14" t="n">
        <v>300</v>
      </c>
      <c r="J10" s="14" t="n">
        <v>380</v>
      </c>
      <c r="K10" s="14" t="n">
        <v>420</v>
      </c>
      <c r="L10" s="14" t="n">
        <v>480</v>
      </c>
      <c r="M10" s="14" t="n">
        <v>600</v>
      </c>
      <c r="N10" s="15">
        <f>SUM(B10:M10)</f>
        <v/>
      </c>
    </row>
    <row r="11">
      <c r="A11" t="inlineStr">
        <is>
          <t>Satış tutarı</t>
        </is>
      </c>
      <c r="B11" s="8">
        <f>B10*$C$5</f>
        <v/>
      </c>
      <c r="C11" s="8">
        <f>C10*$C$5</f>
        <v/>
      </c>
      <c r="D11" s="8">
        <f>D10*$C$5</f>
        <v/>
      </c>
      <c r="E11" s="8">
        <f>E10*$C$5</f>
        <v/>
      </c>
      <c r="F11" s="8">
        <f>F10*$C$5</f>
        <v/>
      </c>
      <c r="G11" s="8">
        <f>G10*$C$5</f>
        <v/>
      </c>
      <c r="H11" s="8">
        <f>H10*$C$5</f>
        <v/>
      </c>
      <c r="I11" s="8">
        <f>I10*$C$5</f>
        <v/>
      </c>
      <c r="J11" s="8">
        <f>J10*$C$5</f>
        <v/>
      </c>
      <c r="K11" s="8">
        <f>K10*$C$5</f>
        <v/>
      </c>
      <c r="L11" s="8">
        <f>L10*$C$5</f>
        <v/>
      </c>
      <c r="M11" s="8">
        <f>M10*$C$5</f>
        <v/>
      </c>
      <c r="N11" s="8">
        <f>SUM(B11:M11)</f>
        <v/>
      </c>
    </row>
    <row r="12">
      <c r="A12" t="inlineStr">
        <is>
          <t>Tahsilat: bu ayın peşin kısmı</t>
        </is>
      </c>
      <c r="B12" s="8">
        <f>B11*$C$7</f>
        <v/>
      </c>
      <c r="C12" s="8">
        <f>C11*$C$7</f>
        <v/>
      </c>
      <c r="D12" s="8">
        <f>D11*$C$7</f>
        <v/>
      </c>
      <c r="E12" s="8">
        <f>E11*$C$7</f>
        <v/>
      </c>
      <c r="F12" s="8">
        <f>F11*$C$7</f>
        <v/>
      </c>
      <c r="G12" s="8">
        <f>G11*$C$7</f>
        <v/>
      </c>
      <c r="H12" s="8">
        <f>H11*$C$7</f>
        <v/>
      </c>
      <c r="I12" s="8">
        <f>I11*$C$7</f>
        <v/>
      </c>
      <c r="J12" s="8">
        <f>J11*$C$7</f>
        <v/>
      </c>
      <c r="K12" s="8">
        <f>K11*$C$7</f>
        <v/>
      </c>
      <c r="L12" s="8">
        <f>L11*$C$7</f>
        <v/>
      </c>
      <c r="M12" s="8">
        <f>M11*$C$7</f>
        <v/>
      </c>
    </row>
    <row r="13">
      <c r="A13" t="inlineStr">
        <is>
          <t>Tahsilat: geçen ayın kalanı</t>
        </is>
      </c>
      <c r="B13" s="7" t="n">
        <v>0</v>
      </c>
      <c r="C13" s="8">
        <f>B11*(1-$C$7)</f>
        <v/>
      </c>
      <c r="D13" s="8">
        <f>C11*(1-$C$7)</f>
        <v/>
      </c>
      <c r="E13" s="8">
        <f>D11*(1-$C$7)</f>
        <v/>
      </c>
      <c r="F13" s="8">
        <f>E11*(1-$C$7)</f>
        <v/>
      </c>
      <c r="G13" s="8">
        <f>F11*(1-$C$7)</f>
        <v/>
      </c>
      <c r="H13" s="8">
        <f>G11*(1-$C$7)</f>
        <v/>
      </c>
      <c r="I13" s="8">
        <f>H11*(1-$C$7)</f>
        <v/>
      </c>
      <c r="J13" s="8">
        <f>I11*(1-$C$7)</f>
        <v/>
      </c>
      <c r="K13" s="8">
        <f>J11*(1-$C$7)</f>
        <v/>
      </c>
      <c r="L13" s="8">
        <f>K11*(1-$C$7)</f>
        <v/>
      </c>
      <c r="M13" s="8">
        <f>L11*(1-$C$7)</f>
        <v/>
      </c>
    </row>
    <row r="14">
      <c r="A14" t="inlineStr">
        <is>
          <t>Nakit girişi</t>
        </is>
      </c>
      <c r="B14" s="8">
        <f>B12+B13</f>
        <v/>
      </c>
      <c r="C14" s="8">
        <f>C12+C13</f>
        <v/>
      </c>
      <c r="D14" s="8">
        <f>D12+D13</f>
        <v/>
      </c>
      <c r="E14" s="8">
        <f>E12+E13</f>
        <v/>
      </c>
      <c r="F14" s="8">
        <f>F12+F13</f>
        <v/>
      </c>
      <c r="G14" s="8">
        <f>G12+G13</f>
        <v/>
      </c>
      <c r="H14" s="8">
        <f>H12+H13</f>
        <v/>
      </c>
      <c r="I14" s="8">
        <f>I12+I13</f>
        <v/>
      </c>
      <c r="J14" s="8">
        <f>J12+J13</f>
        <v/>
      </c>
      <c r="K14" s="8">
        <f>K12+K13</f>
        <v/>
      </c>
      <c r="L14" s="8">
        <f>L12+L13</f>
        <v/>
      </c>
      <c r="M14" s="8">
        <f>M12+M13</f>
        <v/>
      </c>
      <c r="N14" s="8">
        <f>SUM(B14:M14)</f>
        <v/>
      </c>
    </row>
    <row r="15">
      <c r="A15" t="inlineStr">
        <is>
          <t>Hammadde ödemesi</t>
        </is>
      </c>
      <c r="B15" s="8">
        <f>B10*$C$6</f>
        <v/>
      </c>
      <c r="C15" s="8">
        <f>C10*$C$6</f>
        <v/>
      </c>
      <c r="D15" s="8">
        <f>D10*$C$6</f>
        <v/>
      </c>
      <c r="E15" s="8">
        <f>E10*$C$6</f>
        <v/>
      </c>
      <c r="F15" s="8">
        <f>F10*$C$6</f>
        <v/>
      </c>
      <c r="G15" s="8">
        <f>G10*$C$6</f>
        <v/>
      </c>
      <c r="H15" s="8">
        <f>H10*$C$6</f>
        <v/>
      </c>
      <c r="I15" s="8">
        <f>I10*$C$6</f>
        <v/>
      </c>
      <c r="J15" s="8">
        <f>J10*$C$6</f>
        <v/>
      </c>
      <c r="K15" s="8">
        <f>K10*$C$6</f>
        <v/>
      </c>
      <c r="L15" s="8">
        <f>L10*$C$6</f>
        <v/>
      </c>
      <c r="M15" s="8">
        <f>M10*$C$6</f>
        <v/>
      </c>
      <c r="N15" s="8">
        <f>SUM(B15:M15)</f>
        <v/>
      </c>
    </row>
    <row r="16">
      <c r="A16" t="inlineStr">
        <is>
          <t>Sabit giderler</t>
        </is>
      </c>
      <c r="B16" s="8">
        <f>'Başabaş'!$C$5</f>
        <v/>
      </c>
      <c r="C16" s="8">
        <f>'Başabaş'!$C$5</f>
        <v/>
      </c>
      <c r="D16" s="8">
        <f>'Başabaş'!$C$5</f>
        <v/>
      </c>
      <c r="E16" s="8">
        <f>'Başabaş'!$C$5</f>
        <v/>
      </c>
      <c r="F16" s="8">
        <f>'Başabaş'!$C$5</f>
        <v/>
      </c>
      <c r="G16" s="8">
        <f>'Başabaş'!$C$5</f>
        <v/>
      </c>
      <c r="H16" s="8">
        <f>'Başabaş'!$C$5</f>
        <v/>
      </c>
      <c r="I16" s="8">
        <f>'Başabaş'!$C$5</f>
        <v/>
      </c>
      <c r="J16" s="8">
        <f>'Başabaş'!$C$5</f>
        <v/>
      </c>
      <c r="K16" s="8">
        <f>'Başabaş'!$C$5</f>
        <v/>
      </c>
      <c r="L16" s="8">
        <f>'Başabaş'!$C$5</f>
        <v/>
      </c>
      <c r="M16" s="8">
        <f>'Başabaş'!$C$5</f>
        <v/>
      </c>
      <c r="N16" s="8">
        <f>SUM(B16:M16)</f>
        <v/>
      </c>
    </row>
    <row r="17">
      <c r="A17" t="inlineStr">
        <is>
          <t>Ekipman / yatırım</t>
        </is>
      </c>
      <c r="B17" s="7" t="n">
        <v>0</v>
      </c>
      <c r="C17" s="7" t="n">
        <v>0</v>
      </c>
      <c r="D17" s="7" t="n">
        <v>0</v>
      </c>
      <c r="E17" s="7" t="n">
        <v>40000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8">
        <f>SUM(B17:M17)</f>
        <v/>
      </c>
    </row>
    <row r="18">
      <c r="A18" t="inlineStr">
        <is>
          <t>Nakit çıkışı</t>
        </is>
      </c>
      <c r="B18" s="8">
        <f>B15+B16+B17</f>
        <v/>
      </c>
      <c r="C18" s="8">
        <f>C15+C16+C17</f>
        <v/>
      </c>
      <c r="D18" s="8">
        <f>D15+D16+D17</f>
        <v/>
      </c>
      <c r="E18" s="8">
        <f>E15+E16+E17</f>
        <v/>
      </c>
      <c r="F18" s="8">
        <f>F15+F16+F17</f>
        <v/>
      </c>
      <c r="G18" s="8">
        <f>G15+G16+G17</f>
        <v/>
      </c>
      <c r="H18" s="8">
        <f>H15+H16+H17</f>
        <v/>
      </c>
      <c r="I18" s="8">
        <f>I15+I16+I17</f>
        <v/>
      </c>
      <c r="J18" s="8">
        <f>J15+J16+J17</f>
        <v/>
      </c>
      <c r="K18" s="8">
        <f>K15+K16+K17</f>
        <v/>
      </c>
      <c r="L18" s="8">
        <f>L15+L16+L17</f>
        <v/>
      </c>
      <c r="M18" s="8">
        <f>M15+M16+M17</f>
        <v/>
      </c>
      <c r="N18" s="8">
        <f>SUM(B18:M18)</f>
        <v/>
      </c>
    </row>
    <row r="19">
      <c r="A19" s="9" t="inlineStr">
        <is>
          <t>Net nakit akışı</t>
        </is>
      </c>
      <c r="B19" s="10">
        <f>B14-B18</f>
        <v/>
      </c>
      <c r="C19" s="10">
        <f>C14-C18</f>
        <v/>
      </c>
      <c r="D19" s="10">
        <f>D14-D18</f>
        <v/>
      </c>
      <c r="E19" s="10">
        <f>E14-E18</f>
        <v/>
      </c>
      <c r="F19" s="10">
        <f>F14-F18</f>
        <v/>
      </c>
      <c r="G19" s="10">
        <f>G14-G18</f>
        <v/>
      </c>
      <c r="H19" s="10">
        <f>H14-H18</f>
        <v/>
      </c>
      <c r="I19" s="10">
        <f>I14-I18</f>
        <v/>
      </c>
      <c r="J19" s="10">
        <f>J14-J18</f>
        <v/>
      </c>
      <c r="K19" s="10">
        <f>K14-K18</f>
        <v/>
      </c>
      <c r="L19" s="10">
        <f>L14-L18</f>
        <v/>
      </c>
      <c r="M19" s="10">
        <f>M14-M18</f>
        <v/>
      </c>
      <c r="N19" s="8">
        <f>SUM(B19:M19)</f>
        <v/>
      </c>
    </row>
    <row r="20">
      <c r="A20" t="inlineStr">
        <is>
          <t>Açılış bakiyesi</t>
        </is>
      </c>
      <c r="B20" s="7" t="n">
        <v>50000</v>
      </c>
      <c r="C20" s="8">
        <f>B21</f>
        <v/>
      </c>
      <c r="D20" s="8">
        <f>C21</f>
        <v/>
      </c>
      <c r="E20" s="8">
        <f>D21</f>
        <v/>
      </c>
      <c r="F20" s="8">
        <f>E21</f>
        <v/>
      </c>
      <c r="G20" s="8">
        <f>F21</f>
        <v/>
      </c>
      <c r="H20" s="8">
        <f>G21</f>
        <v/>
      </c>
      <c r="I20" s="8">
        <f>H21</f>
        <v/>
      </c>
      <c r="J20" s="8">
        <f>I21</f>
        <v/>
      </c>
      <c r="K20" s="8">
        <f>J21</f>
        <v/>
      </c>
      <c r="L20" s="8">
        <f>K21</f>
        <v/>
      </c>
      <c r="M20" s="8">
        <f>L21</f>
        <v/>
      </c>
    </row>
    <row r="21">
      <c r="A21" s="9" t="inlineStr">
        <is>
          <t>Kapanış bakiyesi</t>
        </is>
      </c>
      <c r="B21" s="10">
        <f>B20+B19</f>
        <v/>
      </c>
      <c r="C21" s="10">
        <f>C20+C19</f>
        <v/>
      </c>
      <c r="D21" s="10">
        <f>D20+D19</f>
        <v/>
      </c>
      <c r="E21" s="10">
        <f>E20+E19</f>
        <v/>
      </c>
      <c r="F21" s="10">
        <f>F20+F19</f>
        <v/>
      </c>
      <c r="G21" s="10">
        <f>G20+G19</f>
        <v/>
      </c>
      <c r="H21" s="10">
        <f>H20+H19</f>
        <v/>
      </c>
      <c r="I21" s="10">
        <f>I20+I19</f>
        <v/>
      </c>
      <c r="J21" s="10">
        <f>J20+J19</f>
        <v/>
      </c>
      <c r="K21" s="10">
        <f>K20+K19</f>
        <v/>
      </c>
      <c r="L21" s="10">
        <f>L20+L19</f>
        <v/>
      </c>
      <c r="M21" s="10">
        <f>M20+M19</f>
        <v/>
      </c>
    </row>
    <row r="22">
      <c r="A22" t="inlineStr">
        <is>
          <t>Durum</t>
        </is>
      </c>
      <c r="B22" s="11">
        <f>IF(B21&lt;0,"KASA AÇIĞI","")</f>
        <v/>
      </c>
      <c r="C22" s="11">
        <f>IF(C21&lt;0,"KASA AÇIĞI","")</f>
        <v/>
      </c>
      <c r="D22" s="11">
        <f>IF(D21&lt;0,"KASA AÇIĞI","")</f>
        <v/>
      </c>
      <c r="E22" s="11">
        <f>IF(E21&lt;0,"KASA AÇIĞI","")</f>
        <v/>
      </c>
      <c r="F22" s="11">
        <f>IF(F21&lt;0,"KASA AÇIĞI","")</f>
        <v/>
      </c>
      <c r="G22" s="11">
        <f>IF(G21&lt;0,"KASA AÇIĞI","")</f>
        <v/>
      </c>
      <c r="H22" s="11">
        <f>IF(H21&lt;0,"KASA AÇIĞI","")</f>
        <v/>
      </c>
      <c r="I22" s="11">
        <f>IF(I21&lt;0,"KASA AÇIĞI","")</f>
        <v/>
      </c>
      <c r="J22" s="11">
        <f>IF(J21&lt;0,"KASA AÇIĞI","")</f>
        <v/>
      </c>
      <c r="K22" s="11">
        <f>IF(K21&lt;0,"KASA AÇIĞI","")</f>
        <v/>
      </c>
      <c r="L22" s="11">
        <f>IF(L21&lt;0,"KASA AÇIĞI","")</f>
        <v/>
      </c>
      <c r="M22" s="11">
        <f>IF(M21&lt;0,"KASA AÇIĞI","")</f>
        <v/>
      </c>
    </row>
    <row r="24">
      <c r="A24" t="inlineStr">
        <is>
          <t>En düşük kapanış</t>
        </is>
      </c>
      <c r="C24" s="8">
        <f>MIN(B21:M21)</f>
        <v/>
      </c>
    </row>
    <row r="25">
      <c r="A25" t="inlineStr">
        <is>
          <t>Kasa açığı veren ay sayısı</t>
        </is>
      </c>
      <c r="C25" s="19">
        <f>COUNTIF(B21:M21,"&lt;0")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Finans 101 lab (uret.py)</dc:creator>
  <dc:title>hafta3-isletme-finansi.xlsx</dc:title>
  <dcterms:created xsi:type="dcterms:W3CDTF">2026-09-25T11:08:08Z</dcterms:created>
  <dcterms:modified xsi:type="dcterms:W3CDTF">2026-09-25T11:08:08Z</dcterms:modified>
</cp:coreProperties>
</file>