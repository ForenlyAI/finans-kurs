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şla" sheetId="1" state="visible" r:id="rId1"/>
    <sheet name="Bütçe" sheetId="2" state="visible" r:id="rId2"/>
    <sheet name="Nakit Akışı" sheetId="3" state="visible" r:id="rId3"/>
    <sheet name="Hedefler" sheetId="4" state="visible" r:id="rId4"/>
    <sheet name="Varsayım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i val="1"/>
      <color rgb="005B6472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1" pivotButton="0" quotePrefix="0" xfId="0"/>
    <xf numFmtId="0" fontId="6" fillId="4" borderId="1" pivotButton="0" quotePrefix="0" xfId="0"/>
    <xf numFmtId="1" fontId="6" fillId="0" borderId="1" pivotButton="0" quotePrefix="0" xfId="0"/>
    <xf numFmtId="0" fontId="6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1" fontId="0" fillId="3" borderId="1" pivotButton="0" quotePrefix="0" xfId="0"/>
    <xf numFmtId="1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0" customWidth="1" min="2" max="2"/>
    <col width="14" customWidth="1" min="3" max="3"/>
  </cols>
  <sheetData>
    <row r="1">
      <c r="A1" s="1" t="inlineStr">
        <is>
          <t>Bitirme Projesi · Kişisel Finansal Plan (4.4)</t>
        </is>
      </c>
    </row>
    <row r="2">
      <c r="A2" s="2" t="inlineStr">
        <is>
          <t>ŞABLON · kendi (ya da açıkça 'uydurma' diye işaretli) verinizle doldurun · gerçek kimlik, IBAN, kart numarası YAZMAYIN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s="4" t="inlineStr">
        <is>
          <t>Sırayla doldurun: Bütçe → Nakit Akışı → Hedefler → Varsayımlar. Sonra aşağıdaki listeyi işaretleyin.</t>
        </is>
      </c>
    </row>
    <row r="7" ht="30" customHeight="1">
      <c r="A7" s="5" t="inlineStr">
        <is>
          <t>Ölçüt</t>
        </is>
      </c>
      <c r="B7" s="5" t="inlineStr">
        <is>
          <t>Ne istenir?</t>
        </is>
      </c>
      <c r="C7" s="5" t="inlineStr">
        <is>
          <t>Tamam mı?</t>
        </is>
      </c>
    </row>
    <row r="8">
      <c r="A8" s="6" t="inlineStr">
        <is>
          <t>Ç1</t>
        </is>
      </c>
      <c r="B8" t="inlineStr">
        <is>
          <t>Dosya açılıyor, hiçbir hücrede #DIV/0!, #REF!, #VALUE! yok; girdi ve formül hücreleri ayrı</t>
        </is>
      </c>
      <c r="C8" s="7" t="inlineStr">
        <is>
          <t>Hayır</t>
        </is>
      </c>
    </row>
    <row r="9">
      <c r="A9" s="6" t="inlineStr">
        <is>
          <t>Ç2</t>
        </is>
      </c>
      <c r="B9" t="inlineStr">
        <is>
          <t>Bütçe: kategori, plan, gerçekleşen, fark; toplamlar formülle</t>
        </is>
      </c>
      <c r="C9" s="7" t="inlineStr">
        <is>
          <t>Hayır</t>
        </is>
      </c>
    </row>
    <row r="10">
      <c r="A10" s="6" t="inlineStr">
        <is>
          <t>Ç3</t>
        </is>
      </c>
      <c r="B10" t="inlineStr">
        <is>
          <t>12 aylık nakit akışı: açılış → giriş → çıkış → kapanış, aylar birbirine bağlı, açık aylar işaretli</t>
        </is>
      </c>
      <c r="C10" s="7" t="inlineStr">
        <is>
          <t>Hayır</t>
        </is>
      </c>
    </row>
    <row r="11">
      <c r="A11" s="6" t="inlineStr">
        <is>
          <t>Ç4</t>
        </is>
      </c>
      <c r="B11" t="inlineStr">
        <is>
          <t>Borç ya da birikim: ödeme planı veya aylık katkı DEVRESEL_ÖDEME (PMT) ile; toplam faiz yazılı</t>
        </is>
      </c>
      <c r="C11" s="7" t="inlineStr">
        <is>
          <t>Hayır</t>
        </is>
      </c>
    </row>
    <row r="12">
      <c r="A12" s="6" t="inlineStr">
        <is>
          <t>Ç5</t>
        </is>
      </c>
      <c r="B12" t="inlineStr">
        <is>
          <t>Enflasyon: hedef tutar enflasyon varsayımıyla güncellendi; varsayım etiketli</t>
        </is>
      </c>
      <c r="C12" s="7" t="inlineStr">
        <is>
          <t>Hayır</t>
        </is>
      </c>
    </row>
    <row r="13">
      <c r="A13" s="6" t="inlineStr">
        <is>
          <t>Ç6</t>
        </is>
      </c>
      <c r="B13" t="inlineStr">
        <is>
          <t>Karar: en az 3 hedef, öncelik sırası, 'plan yetiyor mu?' sonucu ve bir değişiklik denemesi</t>
        </is>
      </c>
      <c r="C13" s="7" t="inlineStr">
        <is>
          <t>Hayır</t>
        </is>
      </c>
    </row>
    <row r="14">
      <c r="A14" s="6" t="inlineStr">
        <is>
          <t>Ç7</t>
        </is>
      </c>
      <c r="B14" t="inlineStr">
        <is>
          <t>Tek sayfa rapor: durum, 3 karar, varsayımlar listesi (her oran: kaynak + tarih ya da 'ÖRNEK')</t>
        </is>
      </c>
      <c r="C14" s="7" t="inlineStr">
        <is>
          <t>Hayır</t>
        </is>
      </c>
    </row>
    <row r="15">
      <c r="A15" s="6" t="inlineStr">
        <is>
          <t>Ç8</t>
        </is>
      </c>
      <c r="B15" t="inlineStr">
        <is>
          <t>KIRMIZI ÇİZGİ: gerçek kimlik/IBAN/kart no yok · ürün/hisse/fon önerisi ve getiri vaadi yok · kaynaksız 'bugünkü oran' yok</t>
        </is>
      </c>
      <c r="C15" s="7" t="inlineStr">
        <is>
          <t>Hayır</t>
        </is>
      </c>
    </row>
    <row r="17">
      <c r="B17" s="8" t="inlineStr">
        <is>
          <t>Tamamlanan ölçüt sayısı (8 olmalı)</t>
        </is>
      </c>
      <c r="C17" s="9">
        <f>COUNTIF(C8:C15,"Evet")</f>
        <v/>
      </c>
    </row>
    <row r="18">
      <c r="B18" s="8" t="inlineStr">
        <is>
          <t>Sonuç</t>
        </is>
      </c>
      <c r="C18" s="10">
        <f>IF(C17=8,"TESLİME HAZIR","EKSİK VAR")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Aylık Bütçe</t>
        </is>
      </c>
    </row>
    <row r="2">
      <c r="A2" s="2" t="inlineStr">
        <is>
          <t>ŞABLON · kendi (ya da açıkça 'uydurma' diye işaretli) verinizle doldurun · gerçek kimlik, IBAN, kart numarası YAZMAYIN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Kategori</t>
        </is>
      </c>
      <c r="B5" s="5" t="inlineStr">
        <is>
          <t>Zorunlu mu?</t>
        </is>
      </c>
      <c r="C5" s="5" t="inlineStr">
        <is>
          <t>Plan</t>
        </is>
      </c>
      <c r="D5" s="5" t="inlineStr">
        <is>
          <t>Gerçekleşen</t>
        </is>
      </c>
      <c r="E5" s="5" t="inlineStr">
        <is>
          <t>Fark (plan − gerçek)</t>
        </is>
      </c>
      <c r="F5" s="5" t="inlineStr">
        <is>
          <t>Durum</t>
        </is>
      </c>
    </row>
    <row r="6">
      <c r="A6" s="7" t="n"/>
      <c r="B6" s="7" t="n"/>
      <c r="C6" s="11" t="n">
        <v>0</v>
      </c>
      <c r="D6" s="11" t="n">
        <v>0</v>
      </c>
      <c r="E6" s="12">
        <f>C6-D6</f>
        <v/>
      </c>
      <c r="F6" s="13">
        <f>IF(E6&lt;0,"AŞILDI","")</f>
        <v/>
      </c>
    </row>
    <row r="7">
      <c r="A7" s="7" t="n"/>
      <c r="B7" s="7" t="n"/>
      <c r="C7" s="11" t="n">
        <v>0</v>
      </c>
      <c r="D7" s="11" t="n">
        <v>0</v>
      </c>
      <c r="E7" s="12">
        <f>C7-D7</f>
        <v/>
      </c>
      <c r="F7" s="13">
        <f>IF(E7&lt;0,"AŞILDI","")</f>
        <v/>
      </c>
    </row>
    <row r="8">
      <c r="A8" s="7" t="n"/>
      <c r="B8" s="7" t="n"/>
      <c r="C8" s="11" t="n">
        <v>0</v>
      </c>
      <c r="D8" s="11" t="n">
        <v>0</v>
      </c>
      <c r="E8" s="12">
        <f>C8-D8</f>
        <v/>
      </c>
      <c r="F8" s="13">
        <f>IF(E8&lt;0,"AŞILDI","")</f>
        <v/>
      </c>
    </row>
    <row r="9">
      <c r="A9" s="7" t="n"/>
      <c r="B9" s="7" t="n"/>
      <c r="C9" s="11" t="n">
        <v>0</v>
      </c>
      <c r="D9" s="11" t="n">
        <v>0</v>
      </c>
      <c r="E9" s="12">
        <f>C9-D9</f>
        <v/>
      </c>
      <c r="F9" s="13">
        <f>IF(E9&lt;0,"AŞILDI","")</f>
        <v/>
      </c>
    </row>
    <row r="10">
      <c r="A10" s="7" t="n"/>
      <c r="B10" s="7" t="n"/>
      <c r="C10" s="11" t="n">
        <v>0</v>
      </c>
      <c r="D10" s="11" t="n">
        <v>0</v>
      </c>
      <c r="E10" s="12">
        <f>C10-D10</f>
        <v/>
      </c>
      <c r="F10" s="13">
        <f>IF(E10&lt;0,"AŞILDI","")</f>
        <v/>
      </c>
    </row>
    <row r="11">
      <c r="A11" s="7" t="n"/>
      <c r="B11" s="7" t="n"/>
      <c r="C11" s="11" t="n">
        <v>0</v>
      </c>
      <c r="D11" s="11" t="n">
        <v>0</v>
      </c>
      <c r="E11" s="12">
        <f>C11-D11</f>
        <v/>
      </c>
      <c r="F11" s="13">
        <f>IF(E11&lt;0,"AŞILDI","")</f>
        <v/>
      </c>
    </row>
    <row r="12">
      <c r="A12" s="7" t="n"/>
      <c r="B12" s="7" t="n"/>
      <c r="C12" s="11" t="n">
        <v>0</v>
      </c>
      <c r="D12" s="11" t="n">
        <v>0</v>
      </c>
      <c r="E12" s="12">
        <f>C12-D12</f>
        <v/>
      </c>
      <c r="F12" s="13">
        <f>IF(E12&lt;0,"AŞILDI","")</f>
        <v/>
      </c>
    </row>
    <row r="13">
      <c r="A13" s="7" t="n"/>
      <c r="B13" s="7" t="n"/>
      <c r="C13" s="11" t="n">
        <v>0</v>
      </c>
      <c r="D13" s="11" t="n">
        <v>0</v>
      </c>
      <c r="E13" s="12">
        <f>C13-D13</f>
        <v/>
      </c>
      <c r="F13" s="13">
        <f>IF(E13&lt;0,"AŞILDI","")</f>
        <v/>
      </c>
    </row>
    <row r="14">
      <c r="A14" s="7" t="n"/>
      <c r="B14" s="7" t="n"/>
      <c r="C14" s="11" t="n">
        <v>0</v>
      </c>
      <c r="D14" s="11" t="n">
        <v>0</v>
      </c>
      <c r="E14" s="12">
        <f>C14-D14</f>
        <v/>
      </c>
      <c r="F14" s="13">
        <f>IF(E14&lt;0,"AŞILDI","")</f>
        <v/>
      </c>
    </row>
    <row r="15">
      <c r="A15" s="7" t="n"/>
      <c r="B15" s="7" t="n"/>
      <c r="C15" s="11" t="n">
        <v>0</v>
      </c>
      <c r="D15" s="11" t="n">
        <v>0</v>
      </c>
      <c r="E15" s="12">
        <f>C15-D15</f>
        <v/>
      </c>
      <c r="F15" s="13">
        <f>IF(E15&lt;0,"AŞILDI","")</f>
        <v/>
      </c>
    </row>
    <row r="16">
      <c r="A16" s="8" t="inlineStr">
        <is>
          <t>Toplam gider</t>
        </is>
      </c>
      <c r="C16" s="14">
        <f>SUM(C6:C15)</f>
        <v/>
      </c>
      <c r="D16" s="14">
        <f>SUM(D6:D15)</f>
        <v/>
      </c>
      <c r="E16" s="14">
        <f>C16-D16</f>
        <v/>
      </c>
    </row>
    <row r="18">
      <c r="A18" t="inlineStr">
        <is>
          <t>Aylık gelir</t>
        </is>
      </c>
      <c r="C18" s="11" t="n">
        <v>0</v>
      </c>
    </row>
    <row r="19">
      <c r="A19" t="inlineStr">
        <is>
          <t>Birikime ayrılan</t>
        </is>
      </c>
      <c r="C19" s="11" t="n">
        <v>0</v>
      </c>
    </row>
    <row r="20">
      <c r="A20" s="8" t="inlineStr">
        <is>
          <t>Kalan (gelir − gerçekleşen gider − birikim)</t>
        </is>
      </c>
      <c r="C20" s="14">
        <f>C18-D16-C19</f>
        <v/>
      </c>
    </row>
    <row r="21">
      <c r="A21" t="inlineStr">
        <is>
          <t>Zorunlu giderler (gerçekleşen)</t>
        </is>
      </c>
      <c r="C21" s="12">
        <f>SUMIF(B6:B15,"Evet",D6:D15)</f>
        <v/>
      </c>
    </row>
    <row r="23">
      <c r="A23" s="8" t="inlineStr">
        <is>
          <t>Acil durum fonu</t>
        </is>
      </c>
    </row>
    <row r="24">
      <c r="A24" t="inlineStr">
        <is>
          <t>Hedef: kaç aylık zorunlu gider?</t>
        </is>
      </c>
      <c r="C24" s="15" t="n">
        <v>0</v>
      </c>
    </row>
    <row r="25">
      <c r="A25" t="inlineStr">
        <is>
          <t>Acil fon hedefi</t>
        </is>
      </c>
      <c r="C25" s="12">
        <f>C21*C24</f>
        <v/>
      </c>
    </row>
    <row r="26">
      <c r="A26" t="inlineStr">
        <is>
          <t>Şu an ayrılmış tutar</t>
        </is>
      </c>
      <c r="C26" s="11" t="n">
        <v>0</v>
      </c>
    </row>
    <row r="27">
      <c r="A27" t="inlineStr">
        <is>
          <t>Her ay ayırabileceğim</t>
        </is>
      </c>
      <c r="C27" s="11" t="n">
        <v>0</v>
      </c>
    </row>
    <row r="28">
      <c r="A28" s="8" t="inlineStr">
        <is>
          <t>Hedefe kaç ayda ulaşırım?</t>
        </is>
      </c>
      <c r="C28" s="9">
        <f>IF(C25-C26&lt;=0,0,IFERROR(ROUNDUP((C25-C26)/C27,0),0))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>
      <c r="A1" s="1" t="inlineStr">
        <is>
          <t>12 Aylık Nakit Akışı</t>
        </is>
      </c>
    </row>
    <row r="2">
      <c r="A2" s="2" t="inlineStr">
        <is>
          <t>ŞABLON · kendi (ya da açıkça 'uydurma' diye işaretli) verinizle doldurun · gerçek kimlik, IBAN, kart numarası YAZMAYIN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Kalem</t>
        </is>
      </c>
      <c r="B5" s="5" t="inlineStr">
        <is>
          <t>Ocak</t>
        </is>
      </c>
      <c r="C5" s="5" t="inlineStr">
        <is>
          <t>Şubat</t>
        </is>
      </c>
      <c r="D5" s="5" t="inlineStr">
        <is>
          <t>Mart</t>
        </is>
      </c>
      <c r="E5" s="5" t="inlineStr">
        <is>
          <t>Nisan</t>
        </is>
      </c>
      <c r="F5" s="5" t="inlineStr">
        <is>
          <t>Mayıs</t>
        </is>
      </c>
      <c r="G5" s="5" t="inlineStr">
        <is>
          <t>Haziran</t>
        </is>
      </c>
      <c r="H5" s="5" t="inlineStr">
        <is>
          <t>Temmuz</t>
        </is>
      </c>
      <c r="I5" s="5" t="inlineStr">
        <is>
          <t>Ağustos</t>
        </is>
      </c>
      <c r="J5" s="5" t="inlineStr">
        <is>
          <t>Eylül</t>
        </is>
      </c>
      <c r="K5" s="5" t="inlineStr">
        <is>
          <t>Ekim</t>
        </is>
      </c>
      <c r="L5" s="5" t="inlineStr">
        <is>
          <t>Kasım</t>
        </is>
      </c>
      <c r="M5" s="5" t="inlineStr">
        <is>
          <t>Aralık</t>
        </is>
      </c>
      <c r="N5" s="5" t="inlineStr">
        <is>
          <t>Yıl toplamı</t>
        </is>
      </c>
    </row>
    <row r="6">
      <c r="A6" t="inlineStr">
        <is>
          <t>Açılış bakiyesi</t>
        </is>
      </c>
      <c r="B6" s="11" t="n">
        <v>0</v>
      </c>
      <c r="C6" s="12">
        <f>B12</f>
        <v/>
      </c>
      <c r="D6" s="12">
        <f>C12</f>
        <v/>
      </c>
      <c r="E6" s="12">
        <f>D12</f>
        <v/>
      </c>
      <c r="F6" s="12">
        <f>E12</f>
        <v/>
      </c>
      <c r="G6" s="12">
        <f>F12</f>
        <v/>
      </c>
      <c r="H6" s="12">
        <f>G12</f>
        <v/>
      </c>
      <c r="I6" s="12">
        <f>H12</f>
        <v/>
      </c>
      <c r="J6" s="12">
        <f>I12</f>
        <v/>
      </c>
      <c r="K6" s="12">
        <f>J12</f>
        <v/>
      </c>
      <c r="L6" s="12">
        <f>K12</f>
        <v/>
      </c>
      <c r="M6" s="12">
        <f>L12</f>
        <v/>
      </c>
    </row>
    <row r="7">
      <c r="A7" t="inlineStr">
        <is>
          <t>Düzenli gelir</t>
        </is>
      </c>
      <c r="B7" s="12">
        <f>'Bütçe'!$C$18</f>
        <v/>
      </c>
      <c r="C7" s="12">
        <f>'Bütçe'!$C$18</f>
        <v/>
      </c>
      <c r="D7" s="12">
        <f>'Bütçe'!$C$18</f>
        <v/>
      </c>
      <c r="E7" s="12">
        <f>'Bütçe'!$C$18</f>
        <v/>
      </c>
      <c r="F7" s="12">
        <f>'Bütçe'!$C$18</f>
        <v/>
      </c>
      <c r="G7" s="12">
        <f>'Bütçe'!$C$18</f>
        <v/>
      </c>
      <c r="H7" s="12">
        <f>'Bütçe'!$C$18</f>
        <v/>
      </c>
      <c r="I7" s="12">
        <f>'Bütçe'!$C$18</f>
        <v/>
      </c>
      <c r="J7" s="12">
        <f>'Bütçe'!$C$18</f>
        <v/>
      </c>
      <c r="K7" s="12">
        <f>'Bütçe'!$C$18</f>
        <v/>
      </c>
      <c r="L7" s="12">
        <f>'Bütçe'!$C$18</f>
        <v/>
      </c>
      <c r="M7" s="12">
        <f>'Bütçe'!$C$18</f>
        <v/>
      </c>
      <c r="N7" s="12">
        <f>SUM(B7:M7)</f>
        <v/>
      </c>
    </row>
    <row r="8">
      <c r="A8" t="inlineStr">
        <is>
          <t>Düzensiz gelir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2">
        <f>SUM(B8:M8)</f>
        <v/>
      </c>
    </row>
    <row r="9">
      <c r="A9" t="inlineStr">
        <is>
          <t>Düzenli gider</t>
        </is>
      </c>
      <c r="B9" s="12">
        <f>'Bütçe'!$D$16</f>
        <v/>
      </c>
      <c r="C9" s="12">
        <f>'Bütçe'!$D$16</f>
        <v/>
      </c>
      <c r="D9" s="12">
        <f>'Bütçe'!$D$16</f>
        <v/>
      </c>
      <c r="E9" s="12">
        <f>'Bütçe'!$D$16</f>
        <v/>
      </c>
      <c r="F9" s="12">
        <f>'Bütçe'!$D$16</f>
        <v/>
      </c>
      <c r="G9" s="12">
        <f>'Bütçe'!$D$16</f>
        <v/>
      </c>
      <c r="H9" s="12">
        <f>'Bütçe'!$D$16</f>
        <v/>
      </c>
      <c r="I9" s="12">
        <f>'Bütçe'!$D$16</f>
        <v/>
      </c>
      <c r="J9" s="12">
        <f>'Bütçe'!$D$16</f>
        <v/>
      </c>
      <c r="K9" s="12">
        <f>'Bütçe'!$D$16</f>
        <v/>
      </c>
      <c r="L9" s="12">
        <f>'Bütçe'!$D$16</f>
        <v/>
      </c>
      <c r="M9" s="12">
        <f>'Bütçe'!$D$16</f>
        <v/>
      </c>
      <c r="N9" s="12">
        <f>SUM(B9:M9)</f>
        <v/>
      </c>
    </row>
    <row r="10">
      <c r="A10" t="inlineStr">
        <is>
          <t>Dönemsel gider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2">
        <f>SUM(B10:M10)</f>
        <v/>
      </c>
    </row>
    <row r="11">
      <c r="A11" t="inlineStr">
        <is>
          <t>Birikime ayrılan</t>
        </is>
      </c>
      <c r="B11" s="12">
        <f>'Bütçe'!$C$19</f>
        <v/>
      </c>
      <c r="C11" s="12">
        <f>'Bütçe'!$C$19</f>
        <v/>
      </c>
      <c r="D11" s="12">
        <f>'Bütçe'!$C$19</f>
        <v/>
      </c>
      <c r="E11" s="12">
        <f>'Bütçe'!$C$19</f>
        <v/>
      </c>
      <c r="F11" s="12">
        <f>'Bütçe'!$C$19</f>
        <v/>
      </c>
      <c r="G11" s="12">
        <f>'Bütçe'!$C$19</f>
        <v/>
      </c>
      <c r="H11" s="12">
        <f>'Bütçe'!$C$19</f>
        <v/>
      </c>
      <c r="I11" s="12">
        <f>'Bütçe'!$C$19</f>
        <v/>
      </c>
      <c r="J11" s="12">
        <f>'Bütçe'!$C$19</f>
        <v/>
      </c>
      <c r="K11" s="12">
        <f>'Bütçe'!$C$19</f>
        <v/>
      </c>
      <c r="L11" s="12">
        <f>'Bütçe'!$C$19</f>
        <v/>
      </c>
      <c r="M11" s="12">
        <f>'Bütçe'!$C$19</f>
        <v/>
      </c>
      <c r="N11" s="12">
        <f>SUM(B11:M11)</f>
        <v/>
      </c>
    </row>
    <row r="12">
      <c r="A12" s="8" t="inlineStr">
        <is>
          <t>Kapanış bakiyesi</t>
        </is>
      </c>
      <c r="B12" s="14">
        <f>B6+B7+B8-B9-B10-B11</f>
        <v/>
      </c>
      <c r="C12" s="14">
        <f>C6+C7+C8-C9-C10-C11</f>
        <v/>
      </c>
      <c r="D12" s="14">
        <f>D6+D7+D8-D9-D10-D11</f>
        <v/>
      </c>
      <c r="E12" s="14">
        <f>E6+E7+E8-E9-E10-E11</f>
        <v/>
      </c>
      <c r="F12" s="14">
        <f>F6+F7+F8-F9-F10-F11</f>
        <v/>
      </c>
      <c r="G12" s="14">
        <f>G6+G7+G8-G9-G10-G11</f>
        <v/>
      </c>
      <c r="H12" s="14">
        <f>H6+H7+H8-H9-H10-H11</f>
        <v/>
      </c>
      <c r="I12" s="14">
        <f>I6+I7+I8-I9-I10-I11</f>
        <v/>
      </c>
      <c r="J12" s="14">
        <f>J6+J7+J8-J9-J10-J11</f>
        <v/>
      </c>
      <c r="K12" s="14">
        <f>K6+K7+K8-K9-K10-K11</f>
        <v/>
      </c>
      <c r="L12" s="14">
        <f>L6+L7+L8-L9-L10-L11</f>
        <v/>
      </c>
      <c r="M12" s="14">
        <f>M6+M7+M8-M9-M10-M11</f>
        <v/>
      </c>
    </row>
    <row r="13">
      <c r="A13" t="inlineStr">
        <is>
          <t>Durum</t>
        </is>
      </c>
      <c r="B13" s="13">
        <f>IF(B12&lt;0,"AÇIK","")</f>
        <v/>
      </c>
      <c r="C13" s="13">
        <f>IF(C12&lt;0,"AÇIK","")</f>
        <v/>
      </c>
      <c r="D13" s="13">
        <f>IF(D12&lt;0,"AÇIK","")</f>
        <v/>
      </c>
      <c r="E13" s="13">
        <f>IF(E12&lt;0,"AÇIK","")</f>
        <v/>
      </c>
      <c r="F13" s="13">
        <f>IF(F12&lt;0,"AÇIK","")</f>
        <v/>
      </c>
      <c r="G13" s="13">
        <f>IF(G12&lt;0,"AÇIK","")</f>
        <v/>
      </c>
      <c r="H13" s="13">
        <f>IF(H12&lt;0,"AÇIK","")</f>
        <v/>
      </c>
      <c r="I13" s="13">
        <f>IF(I12&lt;0,"AÇIK","")</f>
        <v/>
      </c>
      <c r="J13" s="13">
        <f>IF(J12&lt;0,"AÇIK","")</f>
        <v/>
      </c>
      <c r="K13" s="13">
        <f>IF(K12&lt;0,"AÇIK","")</f>
        <v/>
      </c>
      <c r="L13" s="13">
        <f>IF(L12&lt;0,"AÇIK","")</f>
        <v/>
      </c>
      <c r="M13" s="13">
        <f>IF(M12&lt;0,"AÇIK","")</f>
        <v/>
      </c>
    </row>
    <row r="15">
      <c r="A15" t="inlineStr">
        <is>
          <t>En düşük kapanış</t>
        </is>
      </c>
      <c r="B15" s="12">
        <f>MIN(B12:M12)</f>
        <v/>
      </c>
    </row>
    <row r="16">
      <c r="A16" t="inlineStr">
        <is>
          <t>Açık veren ay sayısı</t>
        </is>
      </c>
      <c r="B16" s="16">
        <f>COUNTIF(B12:M12,"&lt;0")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1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Finansal Hedefler</t>
        </is>
      </c>
    </row>
    <row r="2">
      <c r="A2" s="2" t="inlineStr">
        <is>
          <t>ŞABLON · kendi (ya da açıkça 'uydurma' diye işaretli) verinizle doldurun · gerçek kimlik, IBAN, kart numarası YAZMAYIN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Yıllık enflasyon (ÖRNEK)</t>
        </is>
      </c>
      <c r="C5" s="17" t="n">
        <v>0</v>
      </c>
    </row>
    <row r="6">
      <c r="A6" t="inlineStr">
        <is>
          <t>Birikimin aylık getirisi (ÖRNEK)</t>
        </is>
      </c>
      <c r="C6" s="17" t="n">
        <v>0</v>
      </c>
    </row>
    <row r="7">
      <c r="A7" t="inlineStr">
        <is>
          <t>Her ay hedeflere ayırabileceğim</t>
        </is>
      </c>
      <c r="C7" s="11" t="n">
        <v>0</v>
      </c>
    </row>
    <row r="9" ht="30" customHeight="1">
      <c r="A9" s="5" t="inlineStr">
        <is>
          <t>Hedef</t>
        </is>
      </c>
      <c r="B9" s="5" t="inlineStr">
        <is>
          <t>Öncelik</t>
        </is>
      </c>
      <c r="C9" s="5" t="inlineStr">
        <is>
          <t>Bugünkü tutar</t>
        </is>
      </c>
      <c r="D9" s="5" t="inlineStr">
        <is>
          <t>Kaç ay sonra</t>
        </is>
      </c>
      <c r="E9" s="5" t="inlineStr">
        <is>
          <t>O günkü tahmini tutar</t>
        </is>
      </c>
      <c r="F9" s="5" t="inlineStr">
        <is>
          <t>Aylık katkı</t>
        </is>
      </c>
      <c r="G9" s="5" t="inlineStr">
        <is>
          <t>Plana dahil mi?</t>
        </is>
      </c>
    </row>
    <row r="10">
      <c r="A10" s="7" t="n"/>
      <c r="B10" s="15" t="n"/>
      <c r="C10" s="11" t="n">
        <v>0</v>
      </c>
      <c r="D10" s="15" t="n">
        <v>12</v>
      </c>
      <c r="E10" s="12">
        <f>C10*(1+$C$5)^(D10/12)</f>
        <v/>
      </c>
      <c r="F10" s="12">
        <f>IFERROR(-PMT($C$6,D10,0,E10),0)</f>
        <v/>
      </c>
      <c r="G10" s="7" t="inlineStr">
        <is>
          <t>Hayır</t>
        </is>
      </c>
    </row>
    <row r="11">
      <c r="A11" s="7" t="n"/>
      <c r="B11" s="15" t="n"/>
      <c r="C11" s="11" t="n">
        <v>0</v>
      </c>
      <c r="D11" s="15" t="n">
        <v>12</v>
      </c>
      <c r="E11" s="12">
        <f>C11*(1+$C$5)^(D11/12)</f>
        <v/>
      </c>
      <c r="F11" s="12">
        <f>IFERROR(-PMT($C$6,D11,0,E11),0)</f>
        <v/>
      </c>
      <c r="G11" s="7" t="inlineStr">
        <is>
          <t>Hayır</t>
        </is>
      </c>
    </row>
    <row r="12">
      <c r="A12" s="7" t="n"/>
      <c r="B12" s="15" t="n"/>
      <c r="C12" s="11" t="n">
        <v>0</v>
      </c>
      <c r="D12" s="15" t="n">
        <v>12</v>
      </c>
      <c r="E12" s="12">
        <f>C12*(1+$C$5)^(D12/12)</f>
        <v/>
      </c>
      <c r="F12" s="12">
        <f>IFERROR(-PMT($C$6,D12,0,E12),0)</f>
        <v/>
      </c>
      <c r="G12" s="7" t="inlineStr">
        <is>
          <t>Hayır</t>
        </is>
      </c>
    </row>
    <row r="13">
      <c r="A13" s="7" t="n"/>
      <c r="B13" s="15" t="n"/>
      <c r="C13" s="11" t="n">
        <v>0</v>
      </c>
      <c r="D13" s="15" t="n">
        <v>12</v>
      </c>
      <c r="E13" s="12">
        <f>C13*(1+$C$5)^(D13/12)</f>
        <v/>
      </c>
      <c r="F13" s="12">
        <f>IFERROR(-PMT($C$6,D13,0,E13),0)</f>
        <v/>
      </c>
      <c r="G13" s="7" t="inlineStr">
        <is>
          <t>Hayır</t>
        </is>
      </c>
    </row>
    <row r="15">
      <c r="A15" s="8" t="inlineStr">
        <is>
          <t>Plana dahil hedeflerin aylık katkısı</t>
        </is>
      </c>
      <c r="F15" s="14">
        <f>SUMIF(G10:G13,"Evet",F10:F13)</f>
        <v/>
      </c>
    </row>
    <row r="16">
      <c r="A16" t="inlineStr">
        <is>
          <t>Her ay ayırabileceğim</t>
        </is>
      </c>
      <c r="F16" s="12">
        <f>C7</f>
        <v/>
      </c>
    </row>
    <row r="17">
      <c r="A17" t="inlineStr">
        <is>
          <t>Fark</t>
        </is>
      </c>
      <c r="F17" s="12">
        <f>F16-F15</f>
        <v/>
      </c>
    </row>
    <row r="18">
      <c r="A18" s="8" t="inlineStr">
        <is>
          <t>Durum</t>
        </is>
      </c>
      <c r="F18" s="10">
        <f>IF(F17&gt;=0,"PLAN YETİYOR","PLAN YETMİYOR — süre, tutar ya da öncelik değişmeli")</f>
        <v/>
      </c>
    </row>
    <row r="20">
      <c r="A20" s="4" t="inlineStr">
        <is>
          <t>Tahmini tutar = bugünkü tutar × (1 + yıllık enflasyon) ^ (ay / 12). Enflasyon ve getiri örnek varsayımdır.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4" customWidth="1" min="4" max="4"/>
  </cols>
  <sheetData>
    <row r="1">
      <c r="A1" s="1" t="inlineStr">
        <is>
          <t>Varsayımlar ve Kaynaklar</t>
        </is>
      </c>
    </row>
    <row r="2">
      <c r="A2" s="2" t="inlineStr">
        <is>
          <t>ŞABLON · kendi (ya da açıkça 'uydurma' diye işaretli) verinizle doldurun · gerçek kimlik, IBAN, kart numarası YAZMAYIN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Varsayım</t>
        </is>
      </c>
      <c r="B5" s="5" t="inlineStr">
        <is>
          <t>Değer</t>
        </is>
      </c>
      <c r="C5" s="5" t="inlineStr">
        <is>
          <t>Kaynak (ya da 'ÖRNEK — kaynak yok')</t>
        </is>
      </c>
      <c r="D5" s="5" t="inlineStr">
        <is>
          <t>Tarih</t>
        </is>
      </c>
    </row>
    <row r="6">
      <c r="A6" t="inlineStr">
        <is>
          <t>Yıllık enflasyon</t>
        </is>
      </c>
      <c r="B6" s="18">
        <f>'Hedefler'!C5</f>
        <v/>
      </c>
      <c r="C6" s="7" t="n"/>
      <c r="D6" s="7" t="n"/>
    </row>
    <row r="7">
      <c r="A7" t="inlineStr">
        <is>
          <t>Birikimin aylık getirisi</t>
        </is>
      </c>
      <c r="B7" s="18">
        <f>'Hedefler'!C6</f>
        <v/>
      </c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bitirme-sablonu.xlsx</dc:title>
  <dcterms:created xsi:type="dcterms:W3CDTF">2026-09-25T11:08:08Z</dcterms:created>
  <dcterms:modified xsi:type="dcterms:W3CDTF">2026-09-25T11:08:08Z</dcterms:modified>
</cp:coreProperties>
</file>