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ve Getiri" sheetId="1" state="visible" r:id="rId1"/>
    <sheet name="Çeşitlendirme" sheetId="2" state="visible" r:id="rId2"/>
    <sheet name="Hedef Plan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TL&quot;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9A3412"/>
      <sz val="9"/>
    </font>
    <font>
      <color rgb="005B6472"/>
      <sz val="9"/>
    </font>
    <font>
      <b val="1"/>
      <color rgb="00FFFFFF"/>
    </font>
    <font>
      <b val="1"/>
    </font>
    <font>
      <i val="1"/>
      <color rgb="005B6472"/>
      <sz val="9"/>
    </font>
  </fonts>
  <fills count="5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9" fontId="0" fillId="2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4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6" fillId="0" borderId="0" pivotButton="0" quotePrefix="0" xfId="0"/>
    <xf numFmtId="1" fontId="0" fillId="0" borderId="1" pivotButton="0" quotePrefix="0" xfId="0"/>
    <xf numFmtId="0" fontId="0" fillId="2" borderId="1" pivotButton="0" quotePrefix="0" xfId="0"/>
    <xf numFmtId="1" fontId="0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Risk ve Getiri · üç uydurma senaryo (4.1)</t>
        </is>
      </c>
    </row>
    <row r="2">
      <c r="A2" s="2" t="inlineStr">
        <is>
          <t>UYDURMA SENARYO · gerçek ürün, fon, hisse ya da geçmiş piyasa verisi DEĞİLDİR · bu tablo YATIRIM TAVSİYESİ DEĞİLDİR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Başlangıç tutarı</t>
        </is>
      </c>
      <c r="C5" s="4" t="n">
        <v>10000</v>
      </c>
    </row>
    <row r="6">
      <c r="A6" t="inlineStr">
        <is>
          <t>Yıllık enflasyon (ÖRNEK)</t>
        </is>
      </c>
      <c r="C6" s="5" t="n">
        <v>0.2</v>
      </c>
    </row>
    <row r="8" ht="30" customHeight="1">
      <c r="A8" s="6" t="inlineStr">
        <is>
          <t>Yıl</t>
        </is>
      </c>
      <c r="B8" s="6" t="inlineStr">
        <is>
          <t>Senaryo A getirisi</t>
        </is>
      </c>
      <c r="C8" s="6" t="inlineStr">
        <is>
          <t>Senaryo B getirisi</t>
        </is>
      </c>
      <c r="D8" s="6" t="inlineStr">
        <is>
          <t>Senaryo C getirisi</t>
        </is>
      </c>
      <c r="E8" s="6" t="inlineStr">
        <is>
          <t>A ile değer</t>
        </is>
      </c>
      <c r="F8" s="6" t="inlineStr">
        <is>
          <t>B ile değer</t>
        </is>
      </c>
      <c r="G8" s="6" t="inlineStr">
        <is>
          <t>C ile değer</t>
        </is>
      </c>
    </row>
    <row r="9">
      <c r="A9" t="n">
        <v>1</v>
      </c>
      <c r="B9" s="7" t="n">
        <v>0.21</v>
      </c>
      <c r="C9" s="7" t="n">
        <v>0.3</v>
      </c>
      <c r="D9" s="7" t="n">
        <v>0.8</v>
      </c>
      <c r="E9" s="8">
        <f>$C$5*(1+B9)</f>
        <v/>
      </c>
      <c r="F9" s="8">
        <f>$C$5*(1+C9)</f>
        <v/>
      </c>
      <c r="G9" s="8">
        <f>$C$5*(1+D9)</f>
        <v/>
      </c>
    </row>
    <row r="10">
      <c r="A10" t="n">
        <v>2</v>
      </c>
      <c r="B10" s="7" t="n">
        <v>0.22</v>
      </c>
      <c r="C10" s="7" t="n">
        <v>0.12</v>
      </c>
      <c r="D10" s="7" t="n">
        <v>-0.35</v>
      </c>
      <c r="E10" s="8">
        <f>E9*(1+B10)</f>
        <v/>
      </c>
      <c r="F10" s="8">
        <f>F9*(1+C10)</f>
        <v/>
      </c>
      <c r="G10" s="8">
        <f>G9*(1+D10)</f>
        <v/>
      </c>
    </row>
    <row r="11">
      <c r="A11" t="n">
        <v>3</v>
      </c>
      <c r="B11" s="7" t="n">
        <v>0.2</v>
      </c>
      <c r="C11" s="7" t="n">
        <v>0.35</v>
      </c>
      <c r="D11" s="7" t="n">
        <v>0.95</v>
      </c>
      <c r="E11" s="8">
        <f>E10*(1+B11)</f>
        <v/>
      </c>
      <c r="F11" s="8">
        <f>F10*(1+C11)</f>
        <v/>
      </c>
      <c r="G11" s="8">
        <f>G10*(1+D11)</f>
        <v/>
      </c>
    </row>
    <row r="12">
      <c r="A12" t="n">
        <v>4</v>
      </c>
      <c r="B12" s="7" t="n">
        <v>0.23</v>
      </c>
      <c r="C12" s="7" t="n">
        <v>-0.05</v>
      </c>
      <c r="D12" s="7" t="n">
        <v>-0.4</v>
      </c>
      <c r="E12" s="8">
        <f>E11*(1+B12)</f>
        <v/>
      </c>
      <c r="F12" s="8">
        <f>F11*(1+C12)</f>
        <v/>
      </c>
      <c r="G12" s="8">
        <f>G11*(1+D12)</f>
        <v/>
      </c>
    </row>
    <row r="13">
      <c r="A13" t="n">
        <v>5</v>
      </c>
      <c r="B13" s="7" t="n">
        <v>0.21</v>
      </c>
      <c r="C13" s="7" t="n">
        <v>0.28</v>
      </c>
      <c r="D13" s="7" t="n">
        <v>0.6</v>
      </c>
      <c r="E13" s="8">
        <f>E12*(1+B13)</f>
        <v/>
      </c>
      <c r="F13" s="8">
        <f>F12*(1+C13)</f>
        <v/>
      </c>
      <c r="G13" s="8">
        <f>G12*(1+D13)</f>
        <v/>
      </c>
    </row>
    <row r="14">
      <c r="A14" t="n">
        <v>6</v>
      </c>
      <c r="B14" s="7" t="n">
        <v>0.22</v>
      </c>
      <c r="C14" s="7" t="n">
        <v>0.18</v>
      </c>
      <c r="D14" s="7" t="n">
        <v>0.1</v>
      </c>
      <c r="E14" s="8">
        <f>E13*(1+B14)</f>
        <v/>
      </c>
      <c r="F14" s="8">
        <f>F13*(1+C14)</f>
        <v/>
      </c>
      <c r="G14" s="8">
        <f>G13*(1+D14)</f>
        <v/>
      </c>
    </row>
    <row r="15">
      <c r="A15" t="n">
        <v>7</v>
      </c>
      <c r="B15" s="7" t="n">
        <v>0.2</v>
      </c>
      <c r="C15" s="7" t="n">
        <v>0.4</v>
      </c>
      <c r="D15" s="7" t="n">
        <v>1.1</v>
      </c>
      <c r="E15" s="8">
        <f>E14*(1+B15)</f>
        <v/>
      </c>
      <c r="F15" s="8">
        <f>F14*(1+C15)</f>
        <v/>
      </c>
      <c r="G15" s="8">
        <f>G14*(1+D15)</f>
        <v/>
      </c>
    </row>
    <row r="16">
      <c r="A16" t="n">
        <v>8</v>
      </c>
      <c r="B16" s="7" t="n">
        <v>0.21</v>
      </c>
      <c r="C16" s="7" t="n">
        <v>0.02</v>
      </c>
      <c r="D16" s="7" t="n">
        <v>-0.5</v>
      </c>
      <c r="E16" s="8">
        <f>E15*(1+B16)</f>
        <v/>
      </c>
      <c r="F16" s="8">
        <f>F15*(1+C16)</f>
        <v/>
      </c>
      <c r="G16" s="8">
        <f>G15*(1+D16)</f>
        <v/>
      </c>
    </row>
    <row r="17">
      <c r="A17" t="n">
        <v>9</v>
      </c>
      <c r="B17" s="7" t="n">
        <v>0.22</v>
      </c>
      <c r="C17" s="7" t="n">
        <v>0.25</v>
      </c>
      <c r="D17" s="7" t="n">
        <v>0.7</v>
      </c>
      <c r="E17" s="8">
        <f>E16*(1+B17)</f>
        <v/>
      </c>
      <c r="F17" s="8">
        <f>F16*(1+C17)</f>
        <v/>
      </c>
      <c r="G17" s="8">
        <f>G16*(1+D17)</f>
        <v/>
      </c>
    </row>
    <row r="18">
      <c r="A18" t="n">
        <v>10</v>
      </c>
      <c r="B18" s="7" t="n">
        <v>0.21</v>
      </c>
      <c r="C18" s="7" t="n">
        <v>0.22</v>
      </c>
      <c r="D18" s="7" t="n">
        <v>0.05</v>
      </c>
      <c r="E18" s="8">
        <f>E17*(1+B18)</f>
        <v/>
      </c>
      <c r="F18" s="8">
        <f>F17*(1+C18)</f>
        <v/>
      </c>
      <c r="G18" s="8">
        <f>G17*(1+D18)</f>
        <v/>
      </c>
    </row>
    <row r="20">
      <c r="A20" t="inlineStr">
        <is>
          <t>Ortalama yıllık getiri</t>
        </is>
      </c>
      <c r="B20" s="9">
        <f>AVERAGE(B9:B18)</f>
        <v/>
      </c>
      <c r="C20" s="9">
        <f>AVERAGE(C9:C18)</f>
        <v/>
      </c>
      <c r="D20" s="9">
        <f>AVERAGE(D9:D18)</f>
        <v/>
      </c>
    </row>
    <row r="21">
      <c r="A21" t="inlineStr">
        <is>
          <t>En kötü yıl</t>
        </is>
      </c>
      <c r="B21" s="9">
        <f>MIN(B9:B18)</f>
        <v/>
      </c>
      <c r="C21" s="9">
        <f>MIN(C9:C18)</f>
        <v/>
      </c>
      <c r="D21" s="9">
        <f>MIN(D9:D18)</f>
        <v/>
      </c>
    </row>
    <row r="22">
      <c r="A22" t="inlineStr">
        <is>
          <t>En iyi yıl</t>
        </is>
      </c>
      <c r="B22" s="9">
        <f>MAX(B9:B18)</f>
        <v/>
      </c>
      <c r="C22" s="9">
        <f>MAX(C9:C18)</f>
        <v/>
      </c>
      <c r="D22" s="9">
        <f>MAX(D9:D18)</f>
        <v/>
      </c>
    </row>
    <row r="23">
      <c r="A23" t="inlineStr">
        <is>
          <t>Dalgalanma (standart sapma)</t>
        </is>
      </c>
      <c r="B23" s="9">
        <f>STDEV.P(B9:B18)</f>
        <v/>
      </c>
      <c r="C23" s="9">
        <f>STDEV.P(C9:C18)</f>
        <v/>
      </c>
      <c r="D23" s="9">
        <f>STDEV.P(D9:D18)</f>
        <v/>
      </c>
    </row>
    <row r="24">
      <c r="A24" s="10" t="inlineStr">
        <is>
          <t>10 yıl sonunda değer</t>
        </is>
      </c>
      <c r="B24" s="11">
        <f>E18</f>
        <v/>
      </c>
      <c r="C24" s="11">
        <f>F18</f>
        <v/>
      </c>
      <c r="D24" s="11">
        <f>G18</f>
        <v/>
      </c>
    </row>
    <row r="25">
      <c r="A25" s="10" t="inlineStr">
        <is>
          <t>Yıllık bileşik getiri</t>
        </is>
      </c>
      <c r="B25" s="12">
        <f>(B24/$C$5)^(1/10)-1</f>
        <v/>
      </c>
      <c r="C25" s="12">
        <f>(C24/$C$5)^(1/10)-1</f>
        <v/>
      </c>
      <c r="D25" s="12">
        <f>(D24/$C$5)^(1/10)-1</f>
        <v/>
      </c>
    </row>
    <row r="26">
      <c r="A26" s="10" t="inlineStr">
        <is>
          <t>Enflasyondan arındırılmış (reel) yıllık getiri</t>
        </is>
      </c>
      <c r="B26" s="12">
        <f>(1+B25)/(1+$C$6)-1</f>
        <v/>
      </c>
      <c r="C26" s="12">
        <f>(1+C25)/(1+$C$6)-1</f>
        <v/>
      </c>
      <c r="D26" s="12">
        <f>(1+D25)/(1+$C$6)-1</f>
        <v/>
      </c>
    </row>
    <row r="28">
      <c r="A28" s="13" t="inlineStr">
        <is>
          <t>Ortalama yüksek olsa bile dalgalanma büyükse bileşik getiri düşebilir. Senaryolar ders için uydurulmuştur.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Çeşitlendirme · iki uydurma varlık (4.2)</t>
        </is>
      </c>
    </row>
    <row r="2">
      <c r="A2" s="2" t="inlineStr">
        <is>
          <t>UYDURMA SENARYO · gerçek ürün, fon, hisse ya da geçmiş piyasa verisi DEĞİLDİR · bu tablo YATIRIM TAVSİYESİ DEĞİLDİR</t>
        </is>
      </c>
    </row>
    <row r="3">
      <c r="A3" s="3" t="inlineStr">
        <is>
          <t>Sarı hücre = girdi (değiştirebilirsiniz) · beyaz hücre = formül (elle yazmayın)</t>
        </is>
      </c>
    </row>
    <row r="6">
      <c r="A6" t="inlineStr">
        <is>
          <t>X'in payı →</t>
        </is>
      </c>
      <c r="D6" s="7" t="n">
        <v>0</v>
      </c>
      <c r="E6" s="7" t="n">
        <v>0.25</v>
      </c>
      <c r="F6" s="7" t="n">
        <v>0.5</v>
      </c>
      <c r="G6" s="7" t="n">
        <v>0.75</v>
      </c>
      <c r="H6" s="7" t="n">
        <v>1</v>
      </c>
    </row>
    <row r="7" ht="30" customHeight="1">
      <c r="A7" s="6" t="inlineStr">
        <is>
          <t>Yıl</t>
        </is>
      </c>
      <c r="B7" s="6" t="inlineStr">
        <is>
          <t>X getirisi</t>
        </is>
      </c>
      <c r="C7" s="6" t="inlineStr">
        <is>
          <t>Y getirisi</t>
        </is>
      </c>
      <c r="D7" s="6" t="inlineStr">
        <is>
          <t>Karma 1</t>
        </is>
      </c>
      <c r="E7" s="6" t="inlineStr">
        <is>
          <t>Karma 2</t>
        </is>
      </c>
      <c r="F7" s="6" t="inlineStr">
        <is>
          <t>Karma 3</t>
        </is>
      </c>
      <c r="G7" s="6" t="inlineStr">
        <is>
          <t>Karma 4</t>
        </is>
      </c>
      <c r="H7" s="6" t="inlineStr">
        <is>
          <t>Karma 5</t>
        </is>
      </c>
    </row>
    <row r="8">
      <c r="A8" t="n">
        <v>1</v>
      </c>
      <c r="B8" s="7" t="n">
        <v>0.3</v>
      </c>
      <c r="C8" s="7" t="n">
        <v>-0.02</v>
      </c>
      <c r="D8" s="9">
        <f>D$6*$B8+(1-D$6)*$C8</f>
        <v/>
      </c>
      <c r="E8" s="9">
        <f>E$6*$B8+(1-E$6)*$C8</f>
        <v/>
      </c>
      <c r="F8" s="9">
        <f>F$6*$B8+(1-F$6)*$C8</f>
        <v/>
      </c>
      <c r="G8" s="9">
        <f>G$6*$B8+(1-G$6)*$C8</f>
        <v/>
      </c>
      <c r="H8" s="9">
        <f>H$6*$B8+(1-H$6)*$C8</f>
        <v/>
      </c>
    </row>
    <row r="9">
      <c r="A9" t="n">
        <v>2</v>
      </c>
      <c r="B9" s="7" t="n">
        <v>-0.1</v>
      </c>
      <c r="C9" s="7" t="n">
        <v>0.25</v>
      </c>
      <c r="D9" s="9">
        <f>D$6*$B9+(1-D$6)*$C9</f>
        <v/>
      </c>
      <c r="E9" s="9">
        <f>E$6*$B9+(1-E$6)*$C9</f>
        <v/>
      </c>
      <c r="F9" s="9">
        <f>F$6*$B9+(1-F$6)*$C9</f>
        <v/>
      </c>
      <c r="G9" s="9">
        <f>G$6*$B9+(1-G$6)*$C9</f>
        <v/>
      </c>
      <c r="H9" s="9">
        <f>H$6*$B9+(1-H$6)*$C9</f>
        <v/>
      </c>
    </row>
    <row r="10">
      <c r="A10" t="n">
        <v>3</v>
      </c>
      <c r="B10" s="7" t="n">
        <v>0.25</v>
      </c>
      <c r="C10" s="7" t="n">
        <v>0</v>
      </c>
      <c r="D10" s="9">
        <f>D$6*$B10+(1-D$6)*$C10</f>
        <v/>
      </c>
      <c r="E10" s="9">
        <f>E$6*$B10+(1-E$6)*$C10</f>
        <v/>
      </c>
      <c r="F10" s="9">
        <f>F$6*$B10+(1-F$6)*$C10</f>
        <v/>
      </c>
      <c r="G10" s="9">
        <f>G$6*$B10+(1-G$6)*$C10</f>
        <v/>
      </c>
      <c r="H10" s="9">
        <f>H$6*$B10+(1-H$6)*$C10</f>
        <v/>
      </c>
    </row>
    <row r="11">
      <c r="A11" t="n">
        <v>4</v>
      </c>
      <c r="B11" s="7" t="n">
        <v>0.05</v>
      </c>
      <c r="C11" s="7" t="n">
        <v>0.2</v>
      </c>
      <c r="D11" s="9">
        <f>D$6*$B11+(1-D$6)*$C11</f>
        <v/>
      </c>
      <c r="E11" s="9">
        <f>E$6*$B11+(1-E$6)*$C11</f>
        <v/>
      </c>
      <c r="F11" s="9">
        <f>F$6*$B11+(1-F$6)*$C11</f>
        <v/>
      </c>
      <c r="G11" s="9">
        <f>G$6*$B11+(1-G$6)*$C11</f>
        <v/>
      </c>
      <c r="H11" s="9">
        <f>H$6*$B11+(1-H$6)*$C11</f>
        <v/>
      </c>
    </row>
    <row r="12">
      <c r="A12" t="n">
        <v>5</v>
      </c>
      <c r="B12" s="7" t="n">
        <v>0.35</v>
      </c>
      <c r="C12" s="7" t="n">
        <v>-0.05</v>
      </c>
      <c r="D12" s="9">
        <f>D$6*$B12+(1-D$6)*$C12</f>
        <v/>
      </c>
      <c r="E12" s="9">
        <f>E$6*$B12+(1-E$6)*$C12</f>
        <v/>
      </c>
      <c r="F12" s="9">
        <f>F$6*$B12+(1-F$6)*$C12</f>
        <v/>
      </c>
      <c r="G12" s="9">
        <f>G$6*$B12+(1-G$6)*$C12</f>
        <v/>
      </c>
      <c r="H12" s="9">
        <f>H$6*$B12+(1-H$6)*$C12</f>
        <v/>
      </c>
    </row>
    <row r="13">
      <c r="A13" t="n">
        <v>6</v>
      </c>
      <c r="B13" s="7" t="n">
        <v>-0.15</v>
      </c>
      <c r="C13" s="7" t="n">
        <v>0.3</v>
      </c>
      <c r="D13" s="9">
        <f>D$6*$B13+(1-D$6)*$C13</f>
        <v/>
      </c>
      <c r="E13" s="9">
        <f>E$6*$B13+(1-E$6)*$C13</f>
        <v/>
      </c>
      <c r="F13" s="9">
        <f>F$6*$B13+(1-F$6)*$C13</f>
        <v/>
      </c>
      <c r="G13" s="9">
        <f>G$6*$B13+(1-G$6)*$C13</f>
        <v/>
      </c>
      <c r="H13" s="9">
        <f>H$6*$B13+(1-H$6)*$C13</f>
        <v/>
      </c>
    </row>
    <row r="14">
      <c r="A14" t="n">
        <v>7</v>
      </c>
      <c r="B14" s="7" t="n">
        <v>0.28</v>
      </c>
      <c r="C14" s="7" t="n">
        <v>0.02</v>
      </c>
      <c r="D14" s="9">
        <f>D$6*$B14+(1-D$6)*$C14</f>
        <v/>
      </c>
      <c r="E14" s="9">
        <f>E$6*$B14+(1-E$6)*$C14</f>
        <v/>
      </c>
      <c r="F14" s="9">
        <f>F$6*$B14+(1-F$6)*$C14</f>
        <v/>
      </c>
      <c r="G14" s="9">
        <f>G$6*$B14+(1-G$6)*$C14</f>
        <v/>
      </c>
      <c r="H14" s="9">
        <f>H$6*$B14+(1-H$6)*$C14</f>
        <v/>
      </c>
    </row>
    <row r="15">
      <c r="A15" t="n">
        <v>8</v>
      </c>
      <c r="B15" s="7" t="n">
        <v>0.02</v>
      </c>
      <c r="C15" s="7" t="n">
        <v>0.18</v>
      </c>
      <c r="D15" s="9">
        <f>D$6*$B15+(1-D$6)*$C15</f>
        <v/>
      </c>
      <c r="E15" s="9">
        <f>E$6*$B15+(1-E$6)*$C15</f>
        <v/>
      </c>
      <c r="F15" s="9">
        <f>F$6*$B15+(1-F$6)*$C15</f>
        <v/>
      </c>
      <c r="G15" s="9">
        <f>G$6*$B15+(1-G$6)*$C15</f>
        <v/>
      </c>
      <c r="H15" s="9">
        <f>H$6*$B15+(1-H$6)*$C15</f>
        <v/>
      </c>
    </row>
    <row r="16">
      <c r="A16" t="n">
        <v>9</v>
      </c>
      <c r="B16" s="7" t="n">
        <v>0.3</v>
      </c>
      <c r="C16" s="7" t="n">
        <v>0</v>
      </c>
      <c r="D16" s="9">
        <f>D$6*$B16+(1-D$6)*$C16</f>
        <v/>
      </c>
      <c r="E16" s="9">
        <f>E$6*$B16+(1-E$6)*$C16</f>
        <v/>
      </c>
      <c r="F16" s="9">
        <f>F$6*$B16+(1-F$6)*$C16</f>
        <v/>
      </c>
      <c r="G16" s="9">
        <f>G$6*$B16+(1-G$6)*$C16</f>
        <v/>
      </c>
      <c r="H16" s="9">
        <f>H$6*$B16+(1-H$6)*$C16</f>
        <v/>
      </c>
    </row>
    <row r="17">
      <c r="A17" t="n">
        <v>10</v>
      </c>
      <c r="B17" s="7" t="n">
        <v>-0.05</v>
      </c>
      <c r="C17" s="7" t="n">
        <v>0.22</v>
      </c>
      <c r="D17" s="9">
        <f>D$6*$B17+(1-D$6)*$C17</f>
        <v/>
      </c>
      <c r="E17" s="9">
        <f>E$6*$B17+(1-E$6)*$C17</f>
        <v/>
      </c>
      <c r="F17" s="9">
        <f>F$6*$B17+(1-F$6)*$C17</f>
        <v/>
      </c>
      <c r="G17" s="9">
        <f>G$6*$B17+(1-G$6)*$C17</f>
        <v/>
      </c>
      <c r="H17" s="9">
        <f>H$6*$B17+(1-H$6)*$C17</f>
        <v/>
      </c>
    </row>
    <row r="19">
      <c r="A19" s="10" t="inlineStr">
        <is>
          <t>Ortalama getiri</t>
        </is>
      </c>
      <c r="B19" s="9">
        <f>AVERAGE(B8:B17)</f>
        <v/>
      </c>
      <c r="C19" s="9">
        <f>AVERAGE(C8:C17)</f>
        <v/>
      </c>
      <c r="D19" s="9">
        <f>AVERAGE(D8:D17)</f>
        <v/>
      </c>
      <c r="E19" s="9">
        <f>AVERAGE(E8:E17)</f>
        <v/>
      </c>
      <c r="F19" s="9">
        <f>AVERAGE(F8:F17)</f>
        <v/>
      </c>
      <c r="G19" s="9">
        <f>AVERAGE(G8:G17)</f>
        <v/>
      </c>
      <c r="H19" s="9">
        <f>AVERAGE(H8:H17)</f>
        <v/>
      </c>
    </row>
    <row r="20">
      <c r="A20" s="10" t="inlineStr">
        <is>
          <t>Dalgalanma (standart sapma)</t>
        </is>
      </c>
      <c r="B20" s="12">
        <f>STDEV.P(B8:B17)</f>
        <v/>
      </c>
      <c r="C20" s="12">
        <f>STDEV.P(C8:C17)</f>
        <v/>
      </c>
      <c r="D20" s="12">
        <f>STDEV.P(D8:D17)</f>
        <v/>
      </c>
      <c r="E20" s="12">
        <f>STDEV.P(E8:E17)</f>
        <v/>
      </c>
      <c r="F20" s="12">
        <f>STDEV.P(F8:F17)</f>
        <v/>
      </c>
      <c r="G20" s="12">
        <f>STDEV.P(G8:G17)</f>
        <v/>
      </c>
      <c r="H20" s="12">
        <f>STDEV.P(H8:H17)</f>
        <v/>
      </c>
    </row>
    <row r="21">
      <c r="A21" s="10" t="inlineStr">
        <is>
          <t>En kötü yıl</t>
        </is>
      </c>
      <c r="B21" s="9">
        <f>MIN(B8:B17)</f>
        <v/>
      </c>
      <c r="C21" s="9">
        <f>MIN(C8:C17)</f>
        <v/>
      </c>
      <c r="D21" s="9">
        <f>MIN(D8:D17)</f>
        <v/>
      </c>
      <c r="E21" s="9">
        <f>MIN(E8:E17)</f>
        <v/>
      </c>
      <c r="F21" s="9">
        <f>MIN(F8:F17)</f>
        <v/>
      </c>
      <c r="G21" s="9">
        <f>MIN(G8:G17)</f>
        <v/>
      </c>
      <c r="H21" s="9">
        <f>MIN(H8:H17)</f>
        <v/>
      </c>
    </row>
    <row r="22">
      <c r="A22" s="10" t="inlineStr">
        <is>
          <t>Zararlı yıl sayısı</t>
        </is>
      </c>
      <c r="B22" s="14">
        <f>COUNTIF(B8:B17,"&lt;0")</f>
        <v/>
      </c>
      <c r="C22" s="14">
        <f>COUNTIF(C8:C17,"&lt;0")</f>
        <v/>
      </c>
      <c r="D22" s="14">
        <f>COUNTIF(D8:D17,"&lt;0")</f>
        <v/>
      </c>
      <c r="E22" s="14">
        <f>COUNTIF(E8:E17,"&lt;0")</f>
        <v/>
      </c>
      <c r="F22" s="14">
        <f>COUNTIF(F8:F17,"&lt;0")</f>
        <v/>
      </c>
      <c r="G22" s="14">
        <f>COUNTIF(G8:G17,"&lt;0")</f>
        <v/>
      </c>
      <c r="H22" s="14">
        <f>COUNTIF(H8:H17,"&lt;0")</f>
        <v/>
      </c>
    </row>
    <row r="24">
      <c r="A24" s="13" t="inlineStr">
        <is>
          <t>Karma: X ve Y'ye üstteki paylarla bölünmüş tutar. İki varlık farklı yıllarda düştüğü için karışımın dalgalanması ikisinden de düşük.</t>
        </is>
      </c>
    </row>
    <row r="25">
      <c r="A25" s="13" t="inlineStr">
        <is>
          <t>Çeşitlendirme riski azaltabilir, yok etmez: piyasanın genelini etkileyen risk kalır (SPK yatırımcı kitapçığı).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5" customWidth="1" min="3" max="3"/>
    <col width="11" customWidth="1" min="4" max="4"/>
    <col width="18" customWidth="1" min="5" max="5"/>
    <col width="15" customWidth="1" min="6" max="6"/>
    <col width="14" customWidth="1" min="7" max="7"/>
  </cols>
  <sheetData>
    <row r="1">
      <c r="A1" s="1" t="inlineStr">
        <is>
          <t>Finansal Hedef Planı (4.3)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Yıllık enflasyon (ÖRNEK)</t>
        </is>
      </c>
      <c r="C5" s="5" t="n">
        <v>0.2</v>
      </c>
    </row>
    <row r="6">
      <c r="A6" t="inlineStr">
        <is>
          <t>Birikimin aylık getirisi (ÖRNEK)</t>
        </is>
      </c>
      <c r="C6" s="5" t="n">
        <v>0.01</v>
      </c>
    </row>
    <row r="7">
      <c r="A7" t="inlineStr">
        <is>
          <t>Her ay hedeflere ayırabileceğim</t>
        </is>
      </c>
      <c r="C7" s="4" t="n">
        <v>9000</v>
      </c>
    </row>
    <row r="9" ht="30" customHeight="1">
      <c r="A9" s="6" t="inlineStr">
        <is>
          <t>Hedef</t>
        </is>
      </c>
      <c r="B9" s="6" t="inlineStr">
        <is>
          <t>Öncelik</t>
        </is>
      </c>
      <c r="C9" s="6" t="inlineStr">
        <is>
          <t>Bugünkü tutar</t>
        </is>
      </c>
      <c r="D9" s="6" t="inlineStr">
        <is>
          <t>Kaç ay sonra</t>
        </is>
      </c>
      <c r="E9" s="6" t="inlineStr">
        <is>
          <t>O günkü tahmini tutar</t>
        </is>
      </c>
      <c r="F9" s="6" t="inlineStr">
        <is>
          <t>Aylık katkı</t>
        </is>
      </c>
      <c r="G9" s="6" t="inlineStr">
        <is>
          <t>Plana dahil mi?</t>
        </is>
      </c>
    </row>
    <row r="10">
      <c r="A10" s="15" t="inlineStr">
        <is>
          <t>Acil durum fonu (kalan kısım)</t>
        </is>
      </c>
      <c r="B10" s="16" t="n">
        <v>1</v>
      </c>
      <c r="C10" s="4" t="n">
        <v>60000</v>
      </c>
      <c r="D10" s="16" t="n">
        <v>12</v>
      </c>
      <c r="E10" s="8">
        <f>C10*(1+$C$5)^(D10/12)</f>
        <v/>
      </c>
      <c r="F10" s="8">
        <f>IFERROR(-PMT($C$6,D10,0,E10),0)</f>
        <v/>
      </c>
      <c r="G10" s="15" t="inlineStr">
        <is>
          <t>Evet</t>
        </is>
      </c>
    </row>
    <row r="11">
      <c r="A11" s="15" t="inlineStr">
        <is>
          <t>Eğitim / sertifika</t>
        </is>
      </c>
      <c r="B11" s="16" t="n">
        <v>2</v>
      </c>
      <c r="C11" s="4" t="n">
        <v>30000</v>
      </c>
      <c r="D11" s="16" t="n">
        <v>12</v>
      </c>
      <c r="E11" s="8">
        <f>C11*(1+$C$5)^(D11/12)</f>
        <v/>
      </c>
      <c r="F11" s="8">
        <f>IFERROR(-PMT($C$6,D11,0,E11),0)</f>
        <v/>
      </c>
      <c r="G11" s="15" t="inlineStr">
        <is>
          <t>Evet</t>
        </is>
      </c>
    </row>
    <row r="12">
      <c r="A12" s="15" t="inlineStr">
        <is>
          <t>Dizüstü bilgisayar</t>
        </is>
      </c>
      <c r="B12" s="16" t="n">
        <v>3</v>
      </c>
      <c r="C12" s="4" t="n">
        <v>45000</v>
      </c>
      <c r="D12" s="16" t="n">
        <v>18</v>
      </c>
      <c r="E12" s="8">
        <f>C12*(1+$C$5)^(D12/12)</f>
        <v/>
      </c>
      <c r="F12" s="8">
        <f>IFERROR(-PMT($C$6,D12,0,E12),0)</f>
        <v/>
      </c>
      <c r="G12" s="15" t="inlineStr">
        <is>
          <t>Hayır</t>
        </is>
      </c>
    </row>
    <row r="13">
      <c r="A13" s="15" t="inlineStr">
        <is>
          <t>Tatil</t>
        </is>
      </c>
      <c r="B13" s="16" t="n">
        <v>4</v>
      </c>
      <c r="C13" s="4" t="n">
        <v>25000</v>
      </c>
      <c r="D13" s="16" t="n">
        <v>10</v>
      </c>
      <c r="E13" s="8">
        <f>C13*(1+$C$5)^(D13/12)</f>
        <v/>
      </c>
      <c r="F13" s="8">
        <f>IFERROR(-PMT($C$6,D13,0,E13),0)</f>
        <v/>
      </c>
      <c r="G13" s="15" t="inlineStr">
        <is>
          <t>Hayır</t>
        </is>
      </c>
    </row>
    <row r="15">
      <c r="A15" s="10" t="inlineStr">
        <is>
          <t>Plana dahil hedeflerin aylık katkısı</t>
        </is>
      </c>
      <c r="F15" s="11">
        <f>SUMIF(G10:G13,"Evet",F10:F13)</f>
        <v/>
      </c>
    </row>
    <row r="16">
      <c r="A16" t="inlineStr">
        <is>
          <t>Her ay ayırabileceğim</t>
        </is>
      </c>
      <c r="F16" s="8">
        <f>C7</f>
        <v/>
      </c>
    </row>
    <row r="17">
      <c r="A17" t="inlineStr">
        <is>
          <t>Fark</t>
        </is>
      </c>
      <c r="F17" s="8">
        <f>F16-F15</f>
        <v/>
      </c>
    </row>
    <row r="18">
      <c r="A18" s="10" t="inlineStr">
        <is>
          <t>Durum</t>
        </is>
      </c>
      <c r="F18" s="17">
        <f>IF(F17&gt;=0,"PLAN YETİYOR","PLAN YETMİYOR — süre, tutar ya da öncelik değişmeli")</f>
        <v/>
      </c>
    </row>
    <row r="20">
      <c r="A20" s="13" t="inlineStr">
        <is>
          <t>Tahmini tutar = bugünkü tutar × (1 + yıllık enflasyon) ^ (ay / 12). Enflasyon ve getiri örnek varsayımdır.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Finans 101 lab (uret.py)</dc:creator>
  <dc:title>hafta4-karar-vermek.xlsx</dc:title>
  <dcterms:created xsi:type="dcterms:W3CDTF">2026-09-25T11:08:08Z</dcterms:created>
  <dcterms:modified xsi:type="dcterms:W3CDTF">2026-09-25T11:08:08Z</dcterms:modified>
</cp:coreProperties>
</file>